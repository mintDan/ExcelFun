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2" i="1"/>
  <c r="E4"/>
  <c r="G4"/>
  <c r="E5"/>
  <c r="G5"/>
  <c r="E6"/>
  <c r="G6"/>
  <c r="E7"/>
  <c r="G7"/>
  <c r="E8"/>
  <c r="G8"/>
  <c r="E9"/>
  <c r="G9"/>
  <c r="E10"/>
  <c r="G10"/>
  <c r="E11"/>
  <c r="G11"/>
  <c r="E12"/>
  <c r="G12"/>
  <c r="E13"/>
  <c r="G13"/>
  <c r="E14"/>
  <c r="G14"/>
  <c r="E15"/>
  <c r="G15"/>
  <c r="E16"/>
  <c r="G16"/>
  <c r="E17"/>
  <c r="G17"/>
  <c r="E18"/>
  <c r="G18"/>
  <c r="E19"/>
  <c r="G19"/>
  <c r="E20"/>
  <c r="G20"/>
  <c r="E21"/>
  <c r="G21"/>
  <c r="E22"/>
  <c r="G22"/>
  <c r="E23"/>
  <c r="G23"/>
  <c r="E24"/>
  <c r="G24"/>
  <c r="E25"/>
  <c r="G25"/>
  <c r="E26"/>
  <c r="G26"/>
  <c r="E27"/>
  <c r="G27"/>
  <c r="E28"/>
  <c r="G28"/>
  <c r="E29"/>
  <c r="G29"/>
  <c r="E30"/>
  <c r="G30"/>
  <c r="E31"/>
  <c r="G31"/>
  <c r="E32"/>
  <c r="G32"/>
  <c r="E33"/>
  <c r="G33"/>
  <c r="E34"/>
  <c r="G34"/>
  <c r="E35"/>
  <c r="G35"/>
  <c r="E36"/>
  <c r="G36"/>
  <c r="E37"/>
  <c r="G37"/>
  <c r="E38"/>
  <c r="G38"/>
  <c r="E39"/>
  <c r="G39"/>
  <c r="E40"/>
  <c r="G40"/>
  <c r="E41"/>
  <c r="G41"/>
  <c r="E42"/>
  <c r="G42"/>
  <c r="E43"/>
  <c r="G43"/>
  <c r="E44"/>
  <c r="G44"/>
  <c r="E45"/>
  <c r="G45"/>
  <c r="E46"/>
  <c r="G46"/>
  <c r="E47"/>
  <c r="G47"/>
  <c r="E48"/>
  <c r="G48"/>
  <c r="E49"/>
  <c r="G49"/>
  <c r="E50"/>
  <c r="G50"/>
  <c r="E51"/>
  <c r="G51"/>
  <c r="E52"/>
  <c r="G52"/>
  <c r="E53"/>
  <c r="G53"/>
  <c r="E54"/>
  <c r="G54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1" s="1"/>
  <c r="E102" s="1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C3"/>
  <c r="E3"/>
  <c r="G3"/>
  <c r="D3"/>
  <c r="B8" l="1"/>
  <c r="L2"/>
  <c r="B4"/>
  <c r="N2"/>
  <c r="M4" s="1"/>
  <c r="M5" s="1"/>
  <c r="M6" s="1"/>
  <c r="M7" s="1"/>
  <c r="M8" s="1"/>
  <c r="M9" s="1"/>
  <c r="M10" s="1"/>
  <c r="M11" s="1"/>
  <c r="M12" s="1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N1"/>
  <c r="G2" l="1"/>
  <c r="F3"/>
  <c r="H2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E2"/>
  <c r="F4" l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D4"/>
  <c r="J3"/>
  <c r="I4" s="1"/>
  <c r="J2"/>
  <c r="D5" l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I2"/>
  <c r="H3" s="1"/>
  <c r="I3"/>
  <c r="H4" l="1"/>
  <c r="J4"/>
  <c r="I5" s="1"/>
  <c r="H5" l="1"/>
  <c r="J5"/>
  <c r="I6" s="1"/>
  <c r="H6" l="1"/>
  <c r="J6"/>
  <c r="I7" s="1"/>
  <c r="H7" l="1"/>
  <c r="J7"/>
  <c r="I8" s="1"/>
  <c r="H8" l="1"/>
  <c r="J8"/>
  <c r="I9" s="1"/>
  <c r="J9" l="1"/>
  <c r="I10" s="1"/>
  <c r="H9"/>
  <c r="H10" l="1"/>
  <c r="J10"/>
  <c r="I11" s="1"/>
  <c r="H11" l="1"/>
  <c r="J11"/>
  <c r="I12" s="1"/>
  <c r="J12" l="1"/>
  <c r="I13" s="1"/>
  <c r="H12"/>
  <c r="J13" l="1"/>
  <c r="I14" s="1"/>
  <c r="H13"/>
  <c r="H14" l="1"/>
  <c r="J14"/>
  <c r="I15" s="1"/>
  <c r="J15" l="1"/>
  <c r="I16" s="1"/>
  <c r="H15"/>
  <c r="J16" l="1"/>
  <c r="I17" s="1"/>
  <c r="H16"/>
  <c r="J17" l="1"/>
  <c r="I18" s="1"/>
  <c r="H17"/>
  <c r="J18" l="1"/>
  <c r="I19" s="1"/>
  <c r="H18"/>
  <c r="J19" l="1"/>
  <c r="I20" s="1"/>
  <c r="H19"/>
  <c r="J20" l="1"/>
  <c r="I21" s="1"/>
  <c r="H20"/>
  <c r="J21" l="1"/>
  <c r="I22" s="1"/>
  <c r="H21"/>
  <c r="J22" l="1"/>
  <c r="I23" s="1"/>
  <c r="H22"/>
  <c r="J23" l="1"/>
  <c r="I24" s="1"/>
  <c r="H23"/>
  <c r="J24" l="1"/>
  <c r="I25" s="1"/>
  <c r="H24"/>
  <c r="J25" l="1"/>
  <c r="I26" s="1"/>
  <c r="H25"/>
  <c r="J26" l="1"/>
  <c r="I27" s="1"/>
  <c r="H26"/>
  <c r="J27" l="1"/>
  <c r="I28" s="1"/>
  <c r="H27"/>
  <c r="J28" l="1"/>
  <c r="I29" s="1"/>
  <c r="H28"/>
  <c r="J29" l="1"/>
  <c r="I30" s="1"/>
  <c r="H29"/>
  <c r="J30" l="1"/>
  <c r="I31" s="1"/>
  <c r="H30"/>
  <c r="J31" l="1"/>
  <c r="I32" s="1"/>
  <c r="H31"/>
  <c r="J32" l="1"/>
  <c r="I33" s="1"/>
  <c r="H32"/>
  <c r="J33" l="1"/>
  <c r="I34" s="1"/>
  <c r="H33"/>
  <c r="J34" l="1"/>
  <c r="I35" s="1"/>
  <c r="H34"/>
  <c r="H35" l="1"/>
  <c r="J35"/>
  <c r="I36" s="1"/>
  <c r="H36" l="1"/>
  <c r="J36"/>
  <c r="I37" s="1"/>
  <c r="H37" l="1"/>
  <c r="J37"/>
  <c r="I38" s="1"/>
  <c r="H38" l="1"/>
  <c r="J38"/>
  <c r="I39" s="1"/>
  <c r="H39" l="1"/>
  <c r="J39"/>
  <c r="I40" s="1"/>
  <c r="H40" l="1"/>
  <c r="J40"/>
  <c r="I41" s="1"/>
  <c r="H41" l="1"/>
  <c r="J41"/>
  <c r="I42" s="1"/>
  <c r="H42" l="1"/>
  <c r="J42"/>
  <c r="I43" s="1"/>
  <c r="H43" l="1"/>
  <c r="J43"/>
  <c r="I44" s="1"/>
  <c r="H44" l="1"/>
  <c r="J44"/>
  <c r="I45" s="1"/>
  <c r="H45" l="1"/>
  <c r="J45"/>
  <c r="I46" s="1"/>
  <c r="H46" l="1"/>
  <c r="J46"/>
  <c r="I47" s="1"/>
  <c r="H47" l="1"/>
  <c r="J47"/>
  <c r="I48" s="1"/>
  <c r="H48" l="1"/>
  <c r="J48"/>
  <c r="I49" s="1"/>
  <c r="H49" l="1"/>
  <c r="J49"/>
  <c r="I50" s="1"/>
  <c r="H50" l="1"/>
  <c r="J50"/>
  <c r="I51" s="1"/>
  <c r="H51" l="1"/>
  <c r="J51"/>
  <c r="I52" s="1"/>
  <c r="H52" l="1"/>
  <c r="J52"/>
  <c r="I53" s="1"/>
  <c r="H53" l="1"/>
  <c r="J53"/>
  <c r="I54" s="1"/>
  <c r="H54" l="1"/>
  <c r="J54"/>
  <c r="I55" s="1"/>
  <c r="H55" l="1"/>
  <c r="J55"/>
  <c r="I56" s="1"/>
  <c r="H56" l="1"/>
  <c r="J56"/>
  <c r="I57" s="1"/>
  <c r="H57" l="1"/>
  <c r="J57"/>
  <c r="I58" s="1"/>
  <c r="H58" l="1"/>
  <c r="J58"/>
  <c r="I59" s="1"/>
  <c r="H59" l="1"/>
  <c r="J59"/>
  <c r="I60" s="1"/>
  <c r="H60" l="1"/>
  <c r="J60"/>
  <c r="I61" s="1"/>
  <c r="H61" l="1"/>
  <c r="J61"/>
  <c r="I62" s="1"/>
  <c r="H62" l="1"/>
  <c r="J62"/>
  <c r="I63" s="1"/>
  <c r="H63" l="1"/>
  <c r="J63"/>
  <c r="I64" s="1"/>
  <c r="H64" l="1"/>
  <c r="J64"/>
  <c r="I65" s="1"/>
  <c r="H65" l="1"/>
  <c r="J65"/>
  <c r="I66" s="1"/>
  <c r="H66" l="1"/>
  <c r="J66"/>
  <c r="I67" s="1"/>
  <c r="H67" l="1"/>
  <c r="J67"/>
  <c r="I68" s="1"/>
  <c r="H68" l="1"/>
  <c r="J68"/>
  <c r="I69" s="1"/>
  <c r="H69" l="1"/>
  <c r="J69"/>
  <c r="I70" s="1"/>
  <c r="H70" l="1"/>
  <c r="J70"/>
  <c r="I71" s="1"/>
  <c r="H71" l="1"/>
  <c r="J71"/>
  <c r="I72" s="1"/>
  <c r="H72" l="1"/>
  <c r="J72"/>
  <c r="I73" s="1"/>
  <c r="H73" l="1"/>
  <c r="J73"/>
  <c r="I74" s="1"/>
  <c r="H74" l="1"/>
  <c r="J74"/>
  <c r="I75" s="1"/>
  <c r="H75" l="1"/>
  <c r="J75"/>
  <c r="I76" s="1"/>
  <c r="H76" l="1"/>
  <c r="J76"/>
  <c r="I77" s="1"/>
  <c r="H77" l="1"/>
  <c r="J77"/>
  <c r="I78" s="1"/>
  <c r="H78" l="1"/>
  <c r="J78"/>
  <c r="I79" s="1"/>
  <c r="H79" l="1"/>
  <c r="J79"/>
  <c r="I80" s="1"/>
  <c r="H80" l="1"/>
  <c r="J80"/>
  <c r="I81" s="1"/>
  <c r="H81" l="1"/>
  <c r="J81"/>
  <c r="I82" s="1"/>
  <c r="H82" l="1"/>
  <c r="J82"/>
  <c r="I83" s="1"/>
  <c r="H83" l="1"/>
  <c r="J83"/>
  <c r="I84" s="1"/>
  <c r="H84" l="1"/>
  <c r="J84"/>
  <c r="I85" s="1"/>
  <c r="H85" l="1"/>
  <c r="J85"/>
  <c r="I86" s="1"/>
  <c r="H86" l="1"/>
  <c r="J86"/>
  <c r="I87" s="1"/>
  <c r="H87" l="1"/>
  <c r="J87"/>
  <c r="I88" s="1"/>
  <c r="H88" l="1"/>
  <c r="J88"/>
  <c r="I89" s="1"/>
  <c r="H89" l="1"/>
  <c r="J89"/>
  <c r="I90" s="1"/>
  <c r="H90" l="1"/>
  <c r="J90"/>
  <c r="I91" s="1"/>
  <c r="H91" l="1"/>
  <c r="J91"/>
  <c r="I92" s="1"/>
  <c r="H92" l="1"/>
  <c r="J92"/>
  <c r="I93" s="1"/>
  <c r="H93" l="1"/>
  <c r="J93"/>
  <c r="I94" s="1"/>
  <c r="H94" l="1"/>
  <c r="J94"/>
  <c r="I95" s="1"/>
  <c r="J95" l="1"/>
  <c r="I96" s="1"/>
  <c r="H95"/>
  <c r="J96" l="1"/>
  <c r="I97" s="1"/>
  <c r="H96"/>
  <c r="J97" l="1"/>
  <c r="I98" s="1"/>
  <c r="H97"/>
  <c r="J98" l="1"/>
  <c r="I99" s="1"/>
  <c r="H98"/>
  <c r="J99" l="1"/>
  <c r="I100" s="1"/>
  <c r="H99"/>
  <c r="J100" l="1"/>
  <c r="I101" s="1"/>
  <c r="H100"/>
  <c r="J101" l="1"/>
  <c r="I102" s="1"/>
  <c r="H101"/>
  <c r="J102" l="1"/>
  <c r="I103" s="1"/>
  <c r="H102"/>
  <c r="H103" l="1"/>
  <c r="J103"/>
  <c r="I104" s="1"/>
  <c r="H104" l="1"/>
  <c r="J104"/>
  <c r="I105" s="1"/>
  <c r="J105" l="1"/>
  <c r="I106" s="1"/>
  <c r="H105"/>
  <c r="J106" l="1"/>
  <c r="I107" s="1"/>
  <c r="H106"/>
  <c r="J107" l="1"/>
  <c r="I108" s="1"/>
  <c r="H107"/>
  <c r="J108" l="1"/>
  <c r="I109" s="1"/>
  <c r="H108"/>
  <c r="J109" l="1"/>
  <c r="I110" s="1"/>
  <c r="H109"/>
  <c r="J110" l="1"/>
  <c r="I111" s="1"/>
  <c r="H110"/>
  <c r="J111" l="1"/>
  <c r="I112" s="1"/>
  <c r="H111"/>
  <c r="J112" l="1"/>
  <c r="I113" s="1"/>
  <c r="H112"/>
  <c r="J113" l="1"/>
  <c r="I114" s="1"/>
  <c r="H113"/>
  <c r="J114" l="1"/>
  <c r="I115" s="1"/>
  <c r="H114"/>
  <c r="J115" l="1"/>
  <c r="I116" s="1"/>
  <c r="H115"/>
  <c r="J116" l="1"/>
  <c r="I117" s="1"/>
  <c r="H116"/>
  <c r="J117" l="1"/>
  <c r="I118" s="1"/>
  <c r="H117"/>
  <c r="J118" l="1"/>
  <c r="I119" s="1"/>
  <c r="H118"/>
  <c r="J119" l="1"/>
  <c r="I120" s="1"/>
  <c r="H119"/>
  <c r="J120" l="1"/>
  <c r="I121" s="1"/>
  <c r="H120"/>
  <c r="J121" l="1"/>
  <c r="I122" s="1"/>
  <c r="H121"/>
  <c r="J122" l="1"/>
  <c r="I123" s="1"/>
  <c r="H122"/>
  <c r="J123" l="1"/>
  <c r="I124" s="1"/>
  <c r="H123"/>
  <c r="J124" l="1"/>
  <c r="I125" s="1"/>
  <c r="H124"/>
  <c r="J125" l="1"/>
  <c r="I126" s="1"/>
  <c r="H125"/>
  <c r="J126" l="1"/>
  <c r="I127" s="1"/>
  <c r="H126"/>
  <c r="H127" l="1"/>
  <c r="J127"/>
  <c r="I128" s="1"/>
  <c r="H128" l="1"/>
  <c r="J128"/>
  <c r="I129" s="1"/>
  <c r="H129" l="1"/>
  <c r="J129"/>
  <c r="I130" s="1"/>
  <c r="H130" l="1"/>
  <c r="J130"/>
  <c r="I131" s="1"/>
  <c r="H131" l="1"/>
  <c r="J131"/>
  <c r="I132" s="1"/>
  <c r="H132" l="1"/>
  <c r="J132"/>
  <c r="I133" s="1"/>
  <c r="H133" l="1"/>
  <c r="J133"/>
  <c r="I134" s="1"/>
  <c r="H134" l="1"/>
  <c r="J134"/>
  <c r="I135" s="1"/>
  <c r="H135" l="1"/>
  <c r="J135"/>
  <c r="I136" s="1"/>
  <c r="H136" l="1"/>
  <c r="J136"/>
  <c r="I137" s="1"/>
  <c r="H137" l="1"/>
  <c r="J137"/>
  <c r="I138" s="1"/>
  <c r="H138" l="1"/>
  <c r="J138"/>
  <c r="I139" s="1"/>
  <c r="H139" l="1"/>
  <c r="J139"/>
  <c r="I140" s="1"/>
  <c r="H140" l="1"/>
  <c r="J140"/>
  <c r="I141" s="1"/>
  <c r="H141" l="1"/>
  <c r="J141"/>
  <c r="I142" s="1"/>
  <c r="H142" l="1"/>
  <c r="J142"/>
  <c r="I143" s="1"/>
  <c r="H143" l="1"/>
  <c r="J143"/>
  <c r="I144" s="1"/>
  <c r="H144" l="1"/>
  <c r="J144"/>
  <c r="I145" s="1"/>
  <c r="H145" l="1"/>
  <c r="J145"/>
  <c r="I146" s="1"/>
  <c r="H146" l="1"/>
  <c r="J146"/>
  <c r="I147" s="1"/>
  <c r="H147" l="1"/>
  <c r="J147"/>
  <c r="I148" s="1"/>
  <c r="H148" l="1"/>
  <c r="J148"/>
  <c r="I149" s="1"/>
  <c r="H149" l="1"/>
  <c r="J149"/>
  <c r="I150" s="1"/>
  <c r="H150" l="1"/>
  <c r="J150"/>
  <c r="I151" s="1"/>
  <c r="H151" l="1"/>
  <c r="J151"/>
  <c r="I152" s="1"/>
  <c r="H152" l="1"/>
  <c r="J152"/>
  <c r="I153" s="1"/>
  <c r="H153" l="1"/>
  <c r="J153"/>
  <c r="I154" s="1"/>
  <c r="H154" l="1"/>
  <c r="J154"/>
  <c r="I155" s="1"/>
  <c r="H155" l="1"/>
  <c r="J155"/>
  <c r="I156" s="1"/>
  <c r="H156" l="1"/>
  <c r="J156"/>
  <c r="I157" s="1"/>
  <c r="H157" l="1"/>
  <c r="J157"/>
  <c r="I158" s="1"/>
  <c r="H158" l="1"/>
  <c r="J158"/>
  <c r="I159" s="1"/>
  <c r="H159" l="1"/>
  <c r="J159"/>
  <c r="I160" s="1"/>
  <c r="H160" l="1"/>
  <c r="J160"/>
  <c r="I161" s="1"/>
  <c r="H161" l="1"/>
  <c r="J161"/>
  <c r="I162" s="1"/>
  <c r="H162" l="1"/>
  <c r="J162"/>
  <c r="I163" s="1"/>
  <c r="H163" l="1"/>
  <c r="J163"/>
  <c r="I164" s="1"/>
  <c r="H164" l="1"/>
  <c r="J164"/>
  <c r="I165" s="1"/>
  <c r="H165" l="1"/>
  <c r="J165"/>
  <c r="I166" s="1"/>
  <c r="H166" l="1"/>
  <c r="J166"/>
  <c r="I167" s="1"/>
  <c r="H167" l="1"/>
  <c r="J167"/>
  <c r="I168" s="1"/>
  <c r="H168" l="1"/>
  <c r="J168"/>
  <c r="I169" s="1"/>
  <c r="H169" l="1"/>
  <c r="J169"/>
  <c r="I170" s="1"/>
  <c r="H170" l="1"/>
  <c r="J170"/>
  <c r="I171" s="1"/>
  <c r="H171" l="1"/>
  <c r="J171"/>
  <c r="I172" s="1"/>
  <c r="H172" l="1"/>
  <c r="J172"/>
  <c r="I173" s="1"/>
  <c r="H173" l="1"/>
  <c r="J173"/>
  <c r="I174" s="1"/>
  <c r="H174" l="1"/>
  <c r="J174"/>
  <c r="I175" s="1"/>
  <c r="H175" l="1"/>
  <c r="J175"/>
  <c r="I176" s="1"/>
  <c r="H176" l="1"/>
  <c r="J176"/>
  <c r="I177" s="1"/>
  <c r="H177" l="1"/>
  <c r="J177"/>
  <c r="I178" s="1"/>
  <c r="H178" l="1"/>
  <c r="J178"/>
  <c r="I179" s="1"/>
  <c r="H179" l="1"/>
  <c r="J179"/>
  <c r="I180" s="1"/>
  <c r="H180" l="1"/>
  <c r="J180"/>
  <c r="I181" s="1"/>
  <c r="H181" l="1"/>
  <c r="J181"/>
  <c r="I182" s="1"/>
  <c r="H182" l="1"/>
  <c r="J182"/>
  <c r="I183" s="1"/>
  <c r="H183" l="1"/>
  <c r="J183"/>
  <c r="I184" s="1"/>
  <c r="H184" l="1"/>
  <c r="J184"/>
  <c r="I185" s="1"/>
  <c r="H185" l="1"/>
  <c r="J185"/>
  <c r="I186" s="1"/>
  <c r="H186" l="1"/>
  <c r="J186"/>
  <c r="I187" s="1"/>
  <c r="H187" l="1"/>
  <c r="J187"/>
  <c r="I188" s="1"/>
  <c r="H188" l="1"/>
  <c r="J188"/>
  <c r="I189" s="1"/>
  <c r="H189" l="1"/>
  <c r="J189"/>
  <c r="I190" s="1"/>
  <c r="H190" l="1"/>
  <c r="J190"/>
  <c r="I191" s="1"/>
  <c r="H191" l="1"/>
  <c r="J191"/>
  <c r="I192" s="1"/>
  <c r="H192" l="1"/>
  <c r="J192"/>
  <c r="I193" s="1"/>
  <c r="H193" l="1"/>
  <c r="J193"/>
  <c r="I194" s="1"/>
  <c r="H194" l="1"/>
  <c r="J194"/>
  <c r="I195" s="1"/>
  <c r="H195" l="1"/>
  <c r="J195"/>
  <c r="I196" s="1"/>
  <c r="H196" l="1"/>
  <c r="J196"/>
  <c r="I197" s="1"/>
  <c r="H197" l="1"/>
  <c r="J197"/>
  <c r="I198" s="1"/>
  <c r="H198" l="1"/>
  <c r="J198"/>
  <c r="I199" s="1"/>
  <c r="H199" l="1"/>
  <c r="J199"/>
  <c r="I200" s="1"/>
  <c r="H200" l="1"/>
  <c r="J200"/>
  <c r="I201" s="1"/>
  <c r="H201" l="1"/>
  <c r="J201"/>
  <c r="I202" s="1"/>
  <c r="H202" l="1"/>
  <c r="J202"/>
  <c r="I203" s="1"/>
  <c r="H203" l="1"/>
  <c r="J203"/>
  <c r="I204" s="1"/>
  <c r="H204" l="1"/>
  <c r="J204"/>
  <c r="I205" s="1"/>
  <c r="H205" l="1"/>
  <c r="J205"/>
  <c r="I206" s="1"/>
  <c r="H206" l="1"/>
  <c r="J206"/>
  <c r="I207" s="1"/>
  <c r="H207" l="1"/>
  <c r="J207"/>
  <c r="I208" s="1"/>
  <c r="H208" l="1"/>
  <c r="J208"/>
  <c r="I209" s="1"/>
  <c r="H209" l="1"/>
  <c r="J209"/>
  <c r="I210" s="1"/>
  <c r="H210" l="1"/>
  <c r="J210"/>
  <c r="I211" s="1"/>
  <c r="H211" l="1"/>
  <c r="J211"/>
  <c r="I212" s="1"/>
  <c r="H212" l="1"/>
  <c r="J212"/>
  <c r="I213" s="1"/>
  <c r="H213" l="1"/>
  <c r="J213"/>
  <c r="I214" s="1"/>
  <c r="H214" l="1"/>
  <c r="J214"/>
  <c r="I215" s="1"/>
  <c r="H215" l="1"/>
  <c r="J215"/>
  <c r="I216" s="1"/>
  <c r="H216" l="1"/>
  <c r="J216"/>
  <c r="I217" s="1"/>
  <c r="H217" l="1"/>
  <c r="J217"/>
  <c r="I218" s="1"/>
  <c r="H218" l="1"/>
  <c r="J218"/>
  <c r="I219" s="1"/>
  <c r="J219" l="1"/>
  <c r="I220" s="1"/>
  <c r="H219"/>
  <c r="J220" l="1"/>
  <c r="I221" s="1"/>
  <c r="H220"/>
  <c r="J221" l="1"/>
  <c r="I222" s="1"/>
  <c r="H221"/>
  <c r="J222" l="1"/>
  <c r="I223" s="1"/>
  <c r="H222"/>
  <c r="J223" l="1"/>
  <c r="I224" s="1"/>
  <c r="H223"/>
  <c r="J224" l="1"/>
  <c r="I225" s="1"/>
  <c r="H224"/>
  <c r="J225" l="1"/>
  <c r="I226" s="1"/>
  <c r="H225"/>
  <c r="J226" l="1"/>
  <c r="I227" s="1"/>
  <c r="H226"/>
  <c r="J227" l="1"/>
  <c r="I228" s="1"/>
  <c r="H227"/>
  <c r="J228" l="1"/>
  <c r="I229" s="1"/>
  <c r="H228"/>
  <c r="J229" l="1"/>
  <c r="I230" s="1"/>
  <c r="H229"/>
  <c r="J230" l="1"/>
  <c r="I231" s="1"/>
  <c r="H230"/>
  <c r="J231" l="1"/>
  <c r="I232" s="1"/>
  <c r="H231"/>
  <c r="J232" l="1"/>
  <c r="I233" s="1"/>
  <c r="H232"/>
  <c r="J233" l="1"/>
  <c r="I234" s="1"/>
  <c r="H233"/>
  <c r="J234" l="1"/>
  <c r="I235" s="1"/>
  <c r="H234"/>
  <c r="J235" l="1"/>
  <c r="I236" s="1"/>
  <c r="H235"/>
  <c r="H236" l="1"/>
  <c r="J236"/>
  <c r="I237" s="1"/>
  <c r="H237" l="1"/>
  <c r="J237"/>
  <c r="I238" s="1"/>
  <c r="H238" l="1"/>
  <c r="J238"/>
  <c r="I239" s="1"/>
  <c r="H239" l="1"/>
  <c r="J239"/>
</calcChain>
</file>

<file path=xl/sharedStrings.xml><?xml version="1.0" encoding="utf-8"?>
<sst xmlns="http://schemas.openxmlformats.org/spreadsheetml/2006/main" count="19" uniqueCount="18">
  <si>
    <t>u0</t>
  </si>
  <si>
    <t>v0</t>
  </si>
  <si>
    <t>x0</t>
  </si>
  <si>
    <t>y0</t>
  </si>
  <si>
    <t>x</t>
  </si>
  <si>
    <t>y</t>
  </si>
  <si>
    <t>u</t>
  </si>
  <si>
    <t>v</t>
  </si>
  <si>
    <t>g</t>
  </si>
  <si>
    <t>t</t>
  </si>
  <si>
    <t>h</t>
  </si>
  <si>
    <t>Ltop</t>
  </si>
  <si>
    <t>Lpipe</t>
  </si>
  <si>
    <t>Vtop</t>
  </si>
  <si>
    <t>Vpipe</t>
  </si>
  <si>
    <t>i</t>
  </si>
  <si>
    <t>dt1</t>
  </si>
  <si>
    <t>dt2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</si>
</sst>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1"/>
  <c:chart>
    <c:plotArea>
      <c:layout>
        <c:manualLayout>
          <c:layoutTarget val="inner"/>
          <c:xMode val="edge"/>
          <c:yMode val="edge"/>
          <c:x val="8.1946631671041117E-2"/>
          <c:y val="3.1071232375022888E-2"/>
          <c:w val="0.86786592300962384"/>
          <c:h val="0.89719889180519108"/>
        </c:manualLayout>
      </c:layout>
      <c:scatterChart>
        <c:scatterStyle val="lineMarker"/>
        <c:ser>
          <c:idx val="0"/>
          <c:order val="0"/>
          <c:spPr>
            <a:ln w="47625"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Sheet1!$D$2:$D$102</c:f>
              <c:numCache>
                <c:formatCode>General</c:formatCode>
                <c:ptCount val="101"/>
                <c:pt idx="0">
                  <c:v>3</c:v>
                </c:pt>
                <c:pt idx="1">
                  <c:v>3.0933973527715364</c:v>
                </c:pt>
                <c:pt idx="2">
                  <c:v>3.1867947055430728</c:v>
                </c:pt>
                <c:pt idx="3">
                  <c:v>3.2801920583146091</c:v>
                </c:pt>
                <c:pt idx="4">
                  <c:v>3.3735894110861455</c:v>
                </c:pt>
                <c:pt idx="5">
                  <c:v>3.4669867638576819</c:v>
                </c:pt>
                <c:pt idx="6">
                  <c:v>3.5603841166292183</c:v>
                </c:pt>
                <c:pt idx="7">
                  <c:v>3.6537814694007547</c:v>
                </c:pt>
                <c:pt idx="8">
                  <c:v>3.747178822172291</c:v>
                </c:pt>
                <c:pt idx="9">
                  <c:v>3.8405761749438274</c:v>
                </c:pt>
                <c:pt idx="10">
                  <c:v>3.9339735277153638</c:v>
                </c:pt>
                <c:pt idx="11">
                  <c:v>4.0273708804868997</c:v>
                </c:pt>
                <c:pt idx="12">
                  <c:v>4.1207682332584357</c:v>
                </c:pt>
                <c:pt idx="13">
                  <c:v>4.2141655860299716</c:v>
                </c:pt>
                <c:pt idx="14">
                  <c:v>4.3075629388015075</c:v>
                </c:pt>
                <c:pt idx="15">
                  <c:v>4.4009602915730435</c:v>
                </c:pt>
                <c:pt idx="16">
                  <c:v>4.4943576443445794</c:v>
                </c:pt>
                <c:pt idx="17">
                  <c:v>4.5877549971161153</c:v>
                </c:pt>
                <c:pt idx="18">
                  <c:v>4.6811523498876513</c:v>
                </c:pt>
                <c:pt idx="19">
                  <c:v>4.7745497026591872</c:v>
                </c:pt>
                <c:pt idx="20">
                  <c:v>4.8679470554307231</c:v>
                </c:pt>
                <c:pt idx="21">
                  <c:v>4.9613444082022591</c:v>
                </c:pt>
                <c:pt idx="22">
                  <c:v>5.054741760973795</c:v>
                </c:pt>
                <c:pt idx="23">
                  <c:v>5.148139113745331</c:v>
                </c:pt>
                <c:pt idx="24">
                  <c:v>5.2415364665168669</c:v>
                </c:pt>
                <c:pt idx="25">
                  <c:v>5.3349338192884028</c:v>
                </c:pt>
                <c:pt idx="26">
                  <c:v>5.4283311720599388</c:v>
                </c:pt>
                <c:pt idx="27">
                  <c:v>5.5217285248314747</c:v>
                </c:pt>
                <c:pt idx="28">
                  <c:v>5.6151258776030106</c:v>
                </c:pt>
                <c:pt idx="29">
                  <c:v>5.7085232303745466</c:v>
                </c:pt>
                <c:pt idx="30">
                  <c:v>5.8019205831460825</c:v>
                </c:pt>
                <c:pt idx="31">
                  <c:v>5.8953179359176184</c:v>
                </c:pt>
                <c:pt idx="32">
                  <c:v>5.9887152886891544</c:v>
                </c:pt>
                <c:pt idx="33">
                  <c:v>6.0821126414606903</c:v>
                </c:pt>
                <c:pt idx="34">
                  <c:v>6.1755099942322262</c:v>
                </c:pt>
                <c:pt idx="35">
                  <c:v>6.2689073470037622</c:v>
                </c:pt>
                <c:pt idx="36">
                  <c:v>6.3623046997752981</c:v>
                </c:pt>
                <c:pt idx="37">
                  <c:v>6.455702052546834</c:v>
                </c:pt>
                <c:pt idx="38">
                  <c:v>6.54909940531837</c:v>
                </c:pt>
                <c:pt idx="39">
                  <c:v>6.6424967580899059</c:v>
                </c:pt>
                <c:pt idx="40">
                  <c:v>6.7358941108614419</c:v>
                </c:pt>
                <c:pt idx="41">
                  <c:v>6.8292914636329778</c:v>
                </c:pt>
                <c:pt idx="42">
                  <c:v>6.9226888164045137</c:v>
                </c:pt>
                <c:pt idx="43">
                  <c:v>7.0160861691760497</c:v>
                </c:pt>
                <c:pt idx="44">
                  <c:v>7.1094835219475856</c:v>
                </c:pt>
                <c:pt idx="45">
                  <c:v>7.2028808747191215</c:v>
                </c:pt>
                <c:pt idx="46">
                  <c:v>7.2962782274906575</c:v>
                </c:pt>
                <c:pt idx="47">
                  <c:v>7.3896755802621934</c:v>
                </c:pt>
                <c:pt idx="48">
                  <c:v>7.4830729330337293</c:v>
                </c:pt>
                <c:pt idx="49">
                  <c:v>7.5764702858052653</c:v>
                </c:pt>
                <c:pt idx="50">
                  <c:v>7.6698676385768012</c:v>
                </c:pt>
                <c:pt idx="51">
                  <c:v>7.7632649913483371</c:v>
                </c:pt>
                <c:pt idx="52">
                  <c:v>7.8566623441198731</c:v>
                </c:pt>
                <c:pt idx="53">
                  <c:v>7.950059696891409</c:v>
                </c:pt>
                <c:pt idx="54">
                  <c:v>8.0434570496629458</c:v>
                </c:pt>
                <c:pt idx="55">
                  <c:v>8.1368544024344818</c:v>
                </c:pt>
                <c:pt idx="56">
                  <c:v>8.2302517552060177</c:v>
                </c:pt>
                <c:pt idx="57">
                  <c:v>8.3236491079775536</c:v>
                </c:pt>
                <c:pt idx="58">
                  <c:v>8.4170464607490896</c:v>
                </c:pt>
                <c:pt idx="59">
                  <c:v>8.5104438135206255</c:v>
                </c:pt>
                <c:pt idx="60">
                  <c:v>8.6038411662921614</c:v>
                </c:pt>
                <c:pt idx="61">
                  <c:v>8.6972385190636974</c:v>
                </c:pt>
                <c:pt idx="62">
                  <c:v>8.7906358718352333</c:v>
                </c:pt>
                <c:pt idx="63">
                  <c:v>8.8840332246067693</c:v>
                </c:pt>
                <c:pt idx="64">
                  <c:v>8.9774305773783052</c:v>
                </c:pt>
                <c:pt idx="65">
                  <c:v>9.0708279301498411</c:v>
                </c:pt>
                <c:pt idx="66">
                  <c:v>9.1642252829213771</c:v>
                </c:pt>
                <c:pt idx="67">
                  <c:v>9.257622635692913</c:v>
                </c:pt>
                <c:pt idx="68">
                  <c:v>9.3510199884644489</c:v>
                </c:pt>
                <c:pt idx="69">
                  <c:v>9.4444173412359849</c:v>
                </c:pt>
                <c:pt idx="70">
                  <c:v>9.5378146940075208</c:v>
                </c:pt>
                <c:pt idx="71">
                  <c:v>9.6312120467790567</c:v>
                </c:pt>
                <c:pt idx="72">
                  <c:v>9.7246093995505927</c:v>
                </c:pt>
                <c:pt idx="73">
                  <c:v>9.8180067523221286</c:v>
                </c:pt>
                <c:pt idx="74">
                  <c:v>9.9114041050936645</c:v>
                </c:pt>
                <c:pt idx="75">
                  <c:v>10.0048014578652</c:v>
                </c:pt>
                <c:pt idx="76">
                  <c:v>10.098198810636736</c:v>
                </c:pt>
                <c:pt idx="77">
                  <c:v>10.191596163408272</c:v>
                </c:pt>
                <c:pt idx="78">
                  <c:v>10.284993516179808</c:v>
                </c:pt>
                <c:pt idx="79">
                  <c:v>10.378390868951344</c:v>
                </c:pt>
                <c:pt idx="80">
                  <c:v>10.47178822172288</c:v>
                </c:pt>
                <c:pt idx="81">
                  <c:v>10.565185574494416</c:v>
                </c:pt>
                <c:pt idx="82">
                  <c:v>10.658582927265952</c:v>
                </c:pt>
                <c:pt idx="83">
                  <c:v>10.751980280037488</c:v>
                </c:pt>
                <c:pt idx="84">
                  <c:v>10.845377632809024</c:v>
                </c:pt>
                <c:pt idx="85">
                  <c:v>10.93877498558056</c:v>
                </c:pt>
                <c:pt idx="86">
                  <c:v>11.032172338352096</c:v>
                </c:pt>
                <c:pt idx="87">
                  <c:v>11.125569691123632</c:v>
                </c:pt>
                <c:pt idx="88">
                  <c:v>11.218967043895168</c:v>
                </c:pt>
                <c:pt idx="89">
                  <c:v>11.312364396666704</c:v>
                </c:pt>
                <c:pt idx="90">
                  <c:v>11.40576174943824</c:v>
                </c:pt>
                <c:pt idx="91">
                  <c:v>11.499159102209775</c:v>
                </c:pt>
                <c:pt idx="92">
                  <c:v>11.592556454981311</c:v>
                </c:pt>
                <c:pt idx="93">
                  <c:v>11.685953807752847</c:v>
                </c:pt>
                <c:pt idx="94">
                  <c:v>11.779351160524383</c:v>
                </c:pt>
                <c:pt idx="95">
                  <c:v>11.872748513295919</c:v>
                </c:pt>
                <c:pt idx="96">
                  <c:v>11.966145866067455</c:v>
                </c:pt>
                <c:pt idx="97">
                  <c:v>12.059543218838991</c:v>
                </c:pt>
                <c:pt idx="98">
                  <c:v>12.152940571610527</c:v>
                </c:pt>
                <c:pt idx="99">
                  <c:v>12.246337924382063</c:v>
                </c:pt>
                <c:pt idx="100">
                  <c:v>12.339735277153599</c:v>
                </c:pt>
              </c:numCache>
            </c:numRef>
          </c:xVal>
          <c:yVal>
            <c:numRef>
              <c:f>Sheet1!$E$2:$E$102</c:f>
              <c:numCache>
                <c:formatCode>General</c:formatCode>
                <c:ptCount val="101"/>
                <c:pt idx="0">
                  <c:v>1</c:v>
                </c:pt>
                <c:pt idx="1">
                  <c:v>0.99951000000000001</c:v>
                </c:pt>
                <c:pt idx="2">
                  <c:v>0.99804000000000004</c:v>
                </c:pt>
                <c:pt idx="3">
                  <c:v>0.99559000000000009</c:v>
                </c:pt>
                <c:pt idx="4">
                  <c:v>0.99216000000000004</c:v>
                </c:pt>
                <c:pt idx="5">
                  <c:v>0.98775000000000002</c:v>
                </c:pt>
                <c:pt idx="6">
                  <c:v>0.98236000000000001</c:v>
                </c:pt>
                <c:pt idx="7">
                  <c:v>0.97599000000000002</c:v>
                </c:pt>
                <c:pt idx="8">
                  <c:v>0.96864000000000006</c:v>
                </c:pt>
                <c:pt idx="9">
                  <c:v>0.96031000000000011</c:v>
                </c:pt>
                <c:pt idx="10">
                  <c:v>0.95100000000000007</c:v>
                </c:pt>
                <c:pt idx="11">
                  <c:v>0.94071000000000005</c:v>
                </c:pt>
                <c:pt idx="12">
                  <c:v>0.92944000000000004</c:v>
                </c:pt>
                <c:pt idx="13">
                  <c:v>0.91719000000000006</c:v>
                </c:pt>
                <c:pt idx="14">
                  <c:v>0.9039600000000001</c:v>
                </c:pt>
                <c:pt idx="15">
                  <c:v>0.88975000000000015</c:v>
                </c:pt>
                <c:pt idx="16">
                  <c:v>0.87456000000000012</c:v>
                </c:pt>
                <c:pt idx="17">
                  <c:v>0.8583900000000001</c:v>
                </c:pt>
                <c:pt idx="18">
                  <c:v>0.8412400000000001</c:v>
                </c:pt>
                <c:pt idx="19">
                  <c:v>0.82311000000000012</c:v>
                </c:pt>
                <c:pt idx="20">
                  <c:v>0.80400000000000016</c:v>
                </c:pt>
                <c:pt idx="21">
                  <c:v>0.78391000000000022</c:v>
                </c:pt>
                <c:pt idx="22">
                  <c:v>0.76284000000000018</c:v>
                </c:pt>
                <c:pt idx="23">
                  <c:v>0.74079000000000017</c:v>
                </c:pt>
                <c:pt idx="24">
                  <c:v>0.71776000000000018</c:v>
                </c:pt>
                <c:pt idx="25">
                  <c:v>0.6937500000000002</c:v>
                </c:pt>
                <c:pt idx="26">
                  <c:v>0.66876000000000024</c:v>
                </c:pt>
                <c:pt idx="27">
                  <c:v>0.64279000000000031</c:v>
                </c:pt>
                <c:pt idx="28">
                  <c:v>0.61584000000000028</c:v>
                </c:pt>
                <c:pt idx="29">
                  <c:v>0.58791000000000027</c:v>
                </c:pt>
                <c:pt idx="30">
                  <c:v>0.55900000000000027</c:v>
                </c:pt>
                <c:pt idx="31">
                  <c:v>0.5291100000000003</c:v>
                </c:pt>
                <c:pt idx="32">
                  <c:v>0.49824000000000029</c:v>
                </c:pt>
                <c:pt idx="33">
                  <c:v>0.4663900000000003</c:v>
                </c:pt>
                <c:pt idx="34">
                  <c:v>0.43356000000000033</c:v>
                </c:pt>
                <c:pt idx="35">
                  <c:v>0.39975000000000038</c:v>
                </c:pt>
                <c:pt idx="36">
                  <c:v>0.3649600000000004</c:v>
                </c:pt>
                <c:pt idx="37">
                  <c:v>0.32919000000000043</c:v>
                </c:pt>
                <c:pt idx="38">
                  <c:v>0.29244000000000048</c:v>
                </c:pt>
                <c:pt idx="39">
                  <c:v>0.25471000000000049</c:v>
                </c:pt>
                <c:pt idx="40">
                  <c:v>0.21600000000000052</c:v>
                </c:pt>
                <c:pt idx="41">
                  <c:v>0.17631000000000055</c:v>
                </c:pt>
                <c:pt idx="42">
                  <c:v>0.13564000000000059</c:v>
                </c:pt>
                <c:pt idx="43">
                  <c:v>9.3990000000000615E-2</c:v>
                </c:pt>
                <c:pt idx="44">
                  <c:v>5.1360000000000641E-2</c:v>
                </c:pt>
                <c:pt idx="45">
                  <c:v>7.7500000000006635E-3</c:v>
                </c:pt>
                <c:pt idx="46">
                  <c:v>-3.6839999999999304E-2</c:v>
                </c:pt>
                <c:pt idx="47">
                  <c:v>-8.2409999999999275E-2</c:v>
                </c:pt>
                <c:pt idx="48">
                  <c:v>-0.12895999999999924</c:v>
                </c:pt>
                <c:pt idx="49">
                  <c:v>-0.1764899999999992</c:v>
                </c:pt>
                <c:pt idx="50">
                  <c:v>-0.22499999999999917</c:v>
                </c:pt>
                <c:pt idx="51">
                  <c:v>-0.27448999999999912</c:v>
                </c:pt>
                <c:pt idx="52">
                  <c:v>-0.32495999999999908</c:v>
                </c:pt>
                <c:pt idx="53">
                  <c:v>-0.37640999999999902</c:v>
                </c:pt>
                <c:pt idx="54">
                  <c:v>-0.428839999999999</c:v>
                </c:pt>
                <c:pt idx="55">
                  <c:v>-0.48224999999999896</c:v>
                </c:pt>
                <c:pt idx="56">
                  <c:v>-0.5366399999999989</c:v>
                </c:pt>
                <c:pt idx="57">
                  <c:v>-0.59200999999999881</c:v>
                </c:pt>
                <c:pt idx="58">
                  <c:v>-0.64835999999999872</c:v>
                </c:pt>
                <c:pt idx="59">
                  <c:v>-0.70568999999999871</c:v>
                </c:pt>
                <c:pt idx="60">
                  <c:v>-0.76399999999999868</c:v>
                </c:pt>
                <c:pt idx="61">
                  <c:v>-0.82328999999999863</c:v>
                </c:pt>
                <c:pt idx="62">
                  <c:v>-0.88355999999999857</c:v>
                </c:pt>
                <c:pt idx="63">
                  <c:v>-0.94480999999999848</c:v>
                </c:pt>
                <c:pt idx="64">
                  <c:v>-1.0070399999999986</c:v>
                </c:pt>
                <c:pt idx="65">
                  <c:v>-1.0702499999999986</c:v>
                </c:pt>
                <c:pt idx="66">
                  <c:v>-1.1344399999999986</c:v>
                </c:pt>
                <c:pt idx="67">
                  <c:v>-1.1996099999999985</c:v>
                </c:pt>
                <c:pt idx="68">
                  <c:v>-1.2657599999999984</c:v>
                </c:pt>
                <c:pt idx="69">
                  <c:v>-1.3328899999999986</c:v>
                </c:pt>
                <c:pt idx="70">
                  <c:v>-1.4009999999999987</c:v>
                </c:pt>
                <c:pt idx="71">
                  <c:v>-1.4700899999999988</c:v>
                </c:pt>
                <c:pt idx="72">
                  <c:v>-1.5401599999999989</c:v>
                </c:pt>
                <c:pt idx="73">
                  <c:v>-1.6112099999999989</c:v>
                </c:pt>
                <c:pt idx="74">
                  <c:v>-1.683239999999999</c:v>
                </c:pt>
                <c:pt idx="75">
                  <c:v>-1.756249999999999</c:v>
                </c:pt>
                <c:pt idx="76">
                  <c:v>-1.830239999999999</c:v>
                </c:pt>
                <c:pt idx="77">
                  <c:v>-1.905209999999999</c:v>
                </c:pt>
                <c:pt idx="78">
                  <c:v>-1.9811599999999989</c:v>
                </c:pt>
                <c:pt idx="79">
                  <c:v>-2.0580899999999991</c:v>
                </c:pt>
                <c:pt idx="80">
                  <c:v>-2.1359999999999992</c:v>
                </c:pt>
                <c:pt idx="81">
                  <c:v>-2.2148899999999991</c:v>
                </c:pt>
                <c:pt idx="82">
                  <c:v>-2.2947599999999992</c:v>
                </c:pt>
                <c:pt idx="83">
                  <c:v>-2.3756099999999991</c:v>
                </c:pt>
                <c:pt idx="84">
                  <c:v>-2.4574399999999992</c:v>
                </c:pt>
                <c:pt idx="85">
                  <c:v>-2.540249999999999</c:v>
                </c:pt>
                <c:pt idx="86">
                  <c:v>-2.624039999999999</c:v>
                </c:pt>
                <c:pt idx="87">
                  <c:v>-2.7088099999999993</c:v>
                </c:pt>
                <c:pt idx="88">
                  <c:v>-2.7945599999999993</c:v>
                </c:pt>
                <c:pt idx="89">
                  <c:v>-2.8812899999999995</c:v>
                </c:pt>
                <c:pt idx="90">
                  <c:v>-2.9689999999999994</c:v>
                </c:pt>
                <c:pt idx="91">
                  <c:v>-3.0576899999999996</c:v>
                </c:pt>
                <c:pt idx="92">
                  <c:v>-3.1473599999999995</c:v>
                </c:pt>
                <c:pt idx="93">
                  <c:v>-3.2380099999999996</c:v>
                </c:pt>
                <c:pt idx="94">
                  <c:v>-3.3296399999999999</c:v>
                </c:pt>
                <c:pt idx="95">
                  <c:v>-3.42225</c:v>
                </c:pt>
                <c:pt idx="96">
                  <c:v>-3.5158400000000003</c:v>
                </c:pt>
                <c:pt idx="97">
                  <c:v>-3.6104100000000003</c:v>
                </c:pt>
                <c:pt idx="98">
                  <c:v>-3.7059600000000006</c:v>
                </c:pt>
                <c:pt idx="99">
                  <c:v>-3.8024900000000006</c:v>
                </c:pt>
                <c:pt idx="100">
                  <c:v>-3.9000000000000008</c:v>
                </c:pt>
              </c:numCache>
            </c:numRef>
          </c:yVal>
        </c:ser>
        <c:ser>
          <c:idx val="1"/>
          <c:order val="1"/>
          <c:spPr>
            <a:ln w="25400" cap="flat" cmpd="sng" algn="ctr">
              <a:solidFill>
                <a:schemeClr val="accent1"/>
              </a:solidFill>
              <a:prstDash val="solid"/>
            </a:ln>
            <a:effectLst/>
          </c:spPr>
          <c:marker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Sheet1!$L$4:$L$34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</c:numCache>
            </c:numRef>
          </c:xVal>
          <c:yVal>
            <c:numRef>
              <c:f>Sheet1!$M$4:$M$34</c:f>
              <c:numCache>
                <c:formatCode>General</c:formatCode>
                <c:ptCount val="31"/>
                <c:pt idx="0">
                  <c:v>5.4191914819928746</c:v>
                </c:pt>
                <c:pt idx="1">
                  <c:v>5.4191914819928746</c:v>
                </c:pt>
                <c:pt idx="2">
                  <c:v>5.4191914819928746</c:v>
                </c:pt>
                <c:pt idx="3">
                  <c:v>5.4191914819928746</c:v>
                </c:pt>
                <c:pt idx="4">
                  <c:v>5.4191914819928746</c:v>
                </c:pt>
                <c:pt idx="5">
                  <c:v>5.4191914819928746</c:v>
                </c:pt>
                <c:pt idx="6">
                  <c:v>5.4191914819928746</c:v>
                </c:pt>
                <c:pt idx="7">
                  <c:v>5.4191914819928746</c:v>
                </c:pt>
                <c:pt idx="8">
                  <c:v>5.4191914819928746</c:v>
                </c:pt>
                <c:pt idx="9">
                  <c:v>5.4191914819928746</c:v>
                </c:pt>
                <c:pt idx="10">
                  <c:v>5.4191914819928746</c:v>
                </c:pt>
                <c:pt idx="11">
                  <c:v>5.4191914819928746</c:v>
                </c:pt>
                <c:pt idx="12">
                  <c:v>5.4191914819928746</c:v>
                </c:pt>
                <c:pt idx="13">
                  <c:v>5.4191914819928746</c:v>
                </c:pt>
                <c:pt idx="14">
                  <c:v>5.4191914819928746</c:v>
                </c:pt>
                <c:pt idx="15">
                  <c:v>5.4191914819928746</c:v>
                </c:pt>
                <c:pt idx="16">
                  <c:v>5.4191914819928746</c:v>
                </c:pt>
                <c:pt idx="17">
                  <c:v>5.4191914819928746</c:v>
                </c:pt>
                <c:pt idx="18">
                  <c:v>5.4191914819928746</c:v>
                </c:pt>
                <c:pt idx="19">
                  <c:v>5.4191914819928746</c:v>
                </c:pt>
                <c:pt idx="20">
                  <c:v>5.4191914819928746</c:v>
                </c:pt>
                <c:pt idx="21">
                  <c:v>5.4191914819928746</c:v>
                </c:pt>
                <c:pt idx="22">
                  <c:v>5.4191914819928746</c:v>
                </c:pt>
                <c:pt idx="23">
                  <c:v>5.4191914819928746</c:v>
                </c:pt>
                <c:pt idx="24">
                  <c:v>5.4191914819928746</c:v>
                </c:pt>
                <c:pt idx="25">
                  <c:v>5.4191914819928746</c:v>
                </c:pt>
                <c:pt idx="26">
                  <c:v>5.4191914819928746</c:v>
                </c:pt>
                <c:pt idx="27">
                  <c:v>5.4191914819928746</c:v>
                </c:pt>
                <c:pt idx="28">
                  <c:v>5.4191914819928746</c:v>
                </c:pt>
                <c:pt idx="29">
                  <c:v>5.4191914819928746</c:v>
                </c:pt>
                <c:pt idx="30">
                  <c:v>5.4191914819928746</c:v>
                </c:pt>
              </c:numCache>
            </c:numRef>
          </c:yVal>
        </c:ser>
        <c:axId val="122761984"/>
        <c:axId val="122763904"/>
      </c:scatterChart>
      <c:valAx>
        <c:axId val="122761984"/>
        <c:scaling>
          <c:orientation val="minMax"/>
          <c:max val="1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</a:t>
                </a:r>
              </a:p>
            </c:rich>
          </c:tx>
          <c:layout/>
        </c:title>
        <c:numFmt formatCode="General" sourceLinked="1"/>
        <c:tickLblPos val="nextTo"/>
        <c:crossAx val="122763904"/>
        <c:crosses val="autoZero"/>
        <c:crossBetween val="midCat"/>
      </c:valAx>
      <c:valAx>
        <c:axId val="122763904"/>
        <c:scaling>
          <c:orientation val="minMax"/>
          <c:max val="7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</a:t>
                </a:r>
              </a:p>
            </c:rich>
          </c:tx>
          <c:layout/>
        </c:title>
        <c:numFmt formatCode="General" sourceLinked="1"/>
        <c:tickLblPos val="nextTo"/>
        <c:spPr>
          <a:ln>
            <a:noFill/>
          </a:ln>
        </c:spPr>
        <c:crossAx val="122761984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</xdr:row>
      <xdr:rowOff>47624</xdr:rowOff>
    </xdr:from>
    <xdr:to>
      <xdr:col>17</xdr:col>
      <xdr:colOff>352425</xdr:colOff>
      <xdr:row>24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361949</xdr:colOff>
      <xdr:row>3</xdr:row>
      <xdr:rowOff>152399</xdr:rowOff>
    </xdr:from>
    <xdr:to>
      <xdr:col>12</xdr:col>
      <xdr:colOff>447674</xdr:colOff>
      <xdr:row>20</xdr:row>
      <xdr:rowOff>85724</xdr:rowOff>
    </xdr:to>
    <xdr:sp macro="" textlink="">
      <xdr:nvSpPr>
        <xdr:cNvPr id="3" name="Rectangle 2"/>
        <xdr:cNvSpPr/>
      </xdr:nvSpPr>
      <xdr:spPr>
        <a:xfrm>
          <a:off x="6457949" y="723899"/>
          <a:ext cx="1304925" cy="3171825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39"/>
  <sheetViews>
    <sheetView tabSelected="1" workbookViewId="0">
      <selection activeCell="J12" sqref="J12"/>
    </sheetView>
  </sheetViews>
  <sheetFormatPr defaultRowHeight="15"/>
  <cols>
    <col min="1" max="1" width="5.85546875" bestFit="1" customWidth="1"/>
    <col min="2" max="2" width="5" bestFit="1" customWidth="1"/>
    <col min="6" max="6" width="0" hidden="1" customWidth="1"/>
  </cols>
  <sheetData>
    <row r="1" spans="1:14">
      <c r="C1" t="s">
        <v>9</v>
      </c>
      <c r="D1" t="s">
        <v>4</v>
      </c>
      <c r="E1" s="1" t="s">
        <v>5</v>
      </c>
      <c r="F1" t="s">
        <v>6</v>
      </c>
      <c r="G1" t="s">
        <v>7</v>
      </c>
      <c r="H1" t="s">
        <v>10</v>
      </c>
      <c r="I1" t="s">
        <v>13</v>
      </c>
      <c r="J1" t="s">
        <v>14</v>
      </c>
      <c r="L1">
        <v>0</v>
      </c>
      <c r="M1">
        <v>4.4191914819928746</v>
      </c>
      <c r="N1">
        <f>M1+1</f>
        <v>5.4191914819928746</v>
      </c>
    </row>
    <row r="2" spans="1:14">
      <c r="A2" t="s">
        <v>0</v>
      </c>
      <c r="B2">
        <v>1</v>
      </c>
      <c r="C2">
        <v>0</v>
      </c>
      <c r="D2">
        <f>B4</f>
        <v>3</v>
      </c>
      <c r="E2" s="1">
        <f>B5</f>
        <v>1</v>
      </c>
      <c r="F2">
        <v>9.3397352771536344</v>
      </c>
      <c r="G2">
        <f>B3</f>
        <v>0</v>
      </c>
      <c r="H2">
        <f>B8</f>
        <v>5</v>
      </c>
      <c r="I2">
        <f>$B$10*J2/$B$9</f>
        <v>0.32998316455372217</v>
      </c>
      <c r="J2">
        <f>SQRT(2*$B$7*H2)</f>
        <v>9.8994949366116654</v>
      </c>
      <c r="L2">
        <f>B9</f>
        <v>3</v>
      </c>
      <c r="M2">
        <v>4.4191914819928746</v>
      </c>
      <c r="N2">
        <f>M2+1</f>
        <v>5.4191914819928746</v>
      </c>
    </row>
    <row r="3" spans="1:14">
      <c r="A3" t="s">
        <v>1</v>
      </c>
      <c r="B3">
        <v>0</v>
      </c>
      <c r="C3">
        <f>C2+$B$11</f>
        <v>0.01</v>
      </c>
      <c r="D3">
        <f>D2+F2*$B$11</f>
        <v>3.0933973527715364</v>
      </c>
      <c r="E3" s="1">
        <f>E2+G2*$B$11-0.5*$B$7*($B$11)^2</f>
        <v>0.99951000000000001</v>
      </c>
      <c r="F3">
        <f>F2</f>
        <v>9.3397352771536344</v>
      </c>
      <c r="G3">
        <f>G2-$B$7*$B$11</f>
        <v>-9.8000000000000004E-2</v>
      </c>
      <c r="H3">
        <f>H2-I2*$B$6</f>
        <v>4.9670016835446278</v>
      </c>
      <c r="I3">
        <f>$B$10*J2/$B$9</f>
        <v>0.32998316455372217</v>
      </c>
      <c r="J3">
        <f>SQRT(2*$B$7*H2)</f>
        <v>9.8994949366116654</v>
      </c>
      <c r="L3" t="s">
        <v>15</v>
      </c>
      <c r="M3">
        <v>20</v>
      </c>
    </row>
    <row r="4" spans="1:14">
      <c r="A4" t="s">
        <v>2</v>
      </c>
      <c r="B4">
        <f>B9</f>
        <v>3</v>
      </c>
      <c r="C4">
        <f t="shared" ref="C4:C11" si="0">C3+$B$6</f>
        <v>0.11</v>
      </c>
      <c r="D4">
        <f t="shared" ref="D4:D67" si="1">D3+F3*$B$11</f>
        <v>3.1867947055430728</v>
      </c>
      <c r="E4" s="1">
        <f t="shared" ref="E4:E67" si="2">E3+G3*$B$11-0.5*$B$7*($B$11)^2</f>
        <v>0.99804000000000004</v>
      </c>
      <c r="F4">
        <f t="shared" ref="F4:F67" si="3">F3</f>
        <v>9.3397352771536344</v>
      </c>
      <c r="G4">
        <f t="shared" ref="G4:G67" si="4">G3-$B$7*$B$11</f>
        <v>-0.19600000000000001</v>
      </c>
      <c r="H4">
        <f t="shared" ref="H4:H6" si="5">H3-I3*$B$6</f>
        <v>4.9340033670892556</v>
      </c>
      <c r="I4">
        <f t="shared" ref="I4:I6" si="6">$B$10*J3/$B$9</f>
        <v>0.32998316455372217</v>
      </c>
      <c r="J4">
        <f t="shared" ref="J4:J6" si="7">SQRT(2*$B$7*H3)</f>
        <v>9.866774194105929</v>
      </c>
      <c r="L4">
        <v>0</v>
      </c>
      <c r="M4">
        <f>N2</f>
        <v>5.4191914819928746</v>
      </c>
    </row>
    <row r="5" spans="1:14">
      <c r="A5" t="s">
        <v>3</v>
      </c>
      <c r="B5">
        <v>1</v>
      </c>
      <c r="C5">
        <f t="shared" si="0"/>
        <v>0.21000000000000002</v>
      </c>
      <c r="D5">
        <f t="shared" si="1"/>
        <v>3.2801920583146091</v>
      </c>
      <c r="E5" s="1">
        <f t="shared" si="2"/>
        <v>0.99559000000000009</v>
      </c>
      <c r="F5">
        <f t="shared" si="3"/>
        <v>9.3397352771536344</v>
      </c>
      <c r="G5">
        <f t="shared" si="4"/>
        <v>-0.29400000000000004</v>
      </c>
      <c r="H5">
        <f t="shared" si="5"/>
        <v>4.9010050506338834</v>
      </c>
      <c r="I5">
        <f t="shared" si="6"/>
        <v>0.32889247313686432</v>
      </c>
      <c r="J5">
        <f t="shared" si="7"/>
        <v>9.8339445796155172</v>
      </c>
      <c r="L5">
        <v>0.1</v>
      </c>
      <c r="M5">
        <f>M4</f>
        <v>5.4191914819928746</v>
      </c>
    </row>
    <row r="6" spans="1:14">
      <c r="A6" t="s">
        <v>16</v>
      </c>
      <c r="B6">
        <v>0.1</v>
      </c>
      <c r="C6">
        <f t="shared" si="0"/>
        <v>0.31000000000000005</v>
      </c>
      <c r="D6">
        <f t="shared" si="1"/>
        <v>3.3735894110861455</v>
      </c>
      <c r="E6" s="1">
        <f t="shared" si="2"/>
        <v>0.99216000000000004</v>
      </c>
      <c r="F6">
        <f t="shared" si="3"/>
        <v>9.3397352771536344</v>
      </c>
      <c r="G6">
        <f t="shared" si="4"/>
        <v>-0.39200000000000002</v>
      </c>
      <c r="H6">
        <f t="shared" si="5"/>
        <v>4.8681158033201966</v>
      </c>
      <c r="I6">
        <f t="shared" si="6"/>
        <v>0.32779815265385059</v>
      </c>
      <c r="J6">
        <f t="shared" si="7"/>
        <v>9.8010049991020871</v>
      </c>
      <c r="L6">
        <v>0.2</v>
      </c>
      <c r="M6">
        <f t="shared" ref="M6:M34" si="8">M5</f>
        <v>5.4191914819928746</v>
      </c>
    </row>
    <row r="7" spans="1:14">
      <c r="A7" t="s">
        <v>8</v>
      </c>
      <c r="B7">
        <v>9.8000000000000007</v>
      </c>
      <c r="C7">
        <f t="shared" si="0"/>
        <v>0.41000000000000003</v>
      </c>
      <c r="D7">
        <f t="shared" si="1"/>
        <v>3.4669867638576819</v>
      </c>
      <c r="E7" s="1">
        <f t="shared" si="2"/>
        <v>0.98775000000000002</v>
      </c>
      <c r="F7">
        <f t="shared" si="3"/>
        <v>9.3397352771536344</v>
      </c>
      <c r="G7">
        <f t="shared" si="4"/>
        <v>-0.49</v>
      </c>
      <c r="H7">
        <f t="shared" ref="H7:H9" si="9">H6-I6*$B$6</f>
        <v>4.8353359880548119</v>
      </c>
      <c r="I7">
        <f t="shared" ref="I7:I9" si="10">$B$10*J6/$B$9</f>
        <v>0.32670016663673623</v>
      </c>
      <c r="J7">
        <f t="shared" ref="J7:J9" si="11">SQRT(2*$B$7*H6)</f>
        <v>9.7680637664317</v>
      </c>
      <c r="L7">
        <v>0.30000000000000004</v>
      </c>
      <c r="M7">
        <f t="shared" si="8"/>
        <v>5.4191914819928746</v>
      </c>
    </row>
    <row r="8" spans="1:14">
      <c r="A8" t="s">
        <v>10</v>
      </c>
      <c r="B8">
        <f>5</f>
        <v>5</v>
      </c>
      <c r="C8">
        <f t="shared" si="0"/>
        <v>0.51</v>
      </c>
      <c r="D8">
        <f t="shared" si="1"/>
        <v>3.5603841166292183</v>
      </c>
      <c r="E8" s="1">
        <f t="shared" si="2"/>
        <v>0.98236000000000001</v>
      </c>
      <c r="F8">
        <f t="shared" si="3"/>
        <v>9.3397352771536344</v>
      </c>
      <c r="G8">
        <f t="shared" si="4"/>
        <v>-0.58799999999999997</v>
      </c>
      <c r="H8">
        <f t="shared" si="9"/>
        <v>4.8026659713911384</v>
      </c>
      <c r="I8">
        <f t="shared" si="10"/>
        <v>0.32560212554772333</v>
      </c>
      <c r="J8">
        <f t="shared" si="11"/>
        <v>9.7351212301580681</v>
      </c>
      <c r="L8">
        <v>0.4</v>
      </c>
      <c r="M8">
        <f t="shared" si="8"/>
        <v>5.4191914819928746</v>
      </c>
    </row>
    <row r="9" spans="1:14">
      <c r="A9" t="s">
        <v>11</v>
      </c>
      <c r="B9">
        <v>3</v>
      </c>
      <c r="C9">
        <f t="shared" si="0"/>
        <v>0.61</v>
      </c>
      <c r="D9">
        <f t="shared" si="1"/>
        <v>3.6537814694007547</v>
      </c>
      <c r="E9" s="1">
        <f t="shared" si="2"/>
        <v>0.97599000000000002</v>
      </c>
      <c r="F9">
        <f t="shared" si="3"/>
        <v>9.3397352771536344</v>
      </c>
      <c r="G9">
        <f t="shared" si="4"/>
        <v>-0.68599999999999994</v>
      </c>
      <c r="H9">
        <f t="shared" si="9"/>
        <v>4.7701057588363662</v>
      </c>
      <c r="I9">
        <f t="shared" si="10"/>
        <v>0.32450404100526892</v>
      </c>
      <c r="J9">
        <f t="shared" si="11"/>
        <v>9.7021777472517119</v>
      </c>
      <c r="L9">
        <v>0.5</v>
      </c>
      <c r="M9">
        <f t="shared" si="8"/>
        <v>5.4191914819928746</v>
      </c>
    </row>
    <row r="10" spans="1:14">
      <c r="A10" t="s">
        <v>12</v>
      </c>
      <c r="B10">
        <v>0.1</v>
      </c>
      <c r="C10">
        <f t="shared" si="0"/>
        <v>0.71</v>
      </c>
      <c r="D10">
        <f t="shared" si="1"/>
        <v>3.747178822172291</v>
      </c>
      <c r="E10" s="1">
        <f t="shared" si="2"/>
        <v>0.96864000000000006</v>
      </c>
      <c r="F10">
        <f t="shared" si="3"/>
        <v>9.3397352771536344</v>
      </c>
      <c r="G10">
        <f t="shared" si="4"/>
        <v>-0.78399999999999992</v>
      </c>
      <c r="H10">
        <f t="shared" ref="H10:H73" si="12">H9-I9*$B$6</f>
        <v>4.7376553547358391</v>
      </c>
      <c r="I10">
        <f t="shared" ref="I10:I73" si="13">$B$10*J9/$B$9</f>
        <v>0.32340592490839043</v>
      </c>
      <c r="J10">
        <f t="shared" ref="J10:J73" si="14">SQRT(2*$B$7*H9)</f>
        <v>9.6692333136186548</v>
      </c>
      <c r="L10">
        <v>0.60000000000000009</v>
      </c>
      <c r="M10">
        <f t="shared" si="8"/>
        <v>5.4191914819928746</v>
      </c>
    </row>
    <row r="11" spans="1:14">
      <c r="A11" t="s">
        <v>17</v>
      </c>
      <c r="B11">
        <v>0.01</v>
      </c>
      <c r="C11">
        <f t="shared" si="0"/>
        <v>0.80999999999999994</v>
      </c>
      <c r="D11">
        <f t="shared" si="1"/>
        <v>3.8405761749438274</v>
      </c>
      <c r="E11" s="1">
        <f t="shared" si="2"/>
        <v>0.96031000000000011</v>
      </c>
      <c r="F11">
        <f t="shared" si="3"/>
        <v>9.3397352771536344</v>
      </c>
      <c r="G11">
        <f t="shared" si="4"/>
        <v>-0.8819999999999999</v>
      </c>
      <c r="H11">
        <f t="shared" si="12"/>
        <v>4.705314762245</v>
      </c>
      <c r="I11">
        <f t="shared" si="13"/>
        <v>0.32230777712062181</v>
      </c>
      <c r="J11">
        <f t="shared" si="14"/>
        <v>9.6362879239270587</v>
      </c>
      <c r="L11">
        <v>0.70000000000000007</v>
      </c>
      <c r="M11">
        <f t="shared" si="8"/>
        <v>5.4191914819928746</v>
      </c>
    </row>
    <row r="12" spans="1:14">
      <c r="C12">
        <f t="shared" ref="C12:C19" si="15">C11+$B$6</f>
        <v>0.90999999999999992</v>
      </c>
      <c r="D12">
        <f t="shared" si="1"/>
        <v>3.9339735277153638</v>
      </c>
      <c r="E12" s="1">
        <f t="shared" si="2"/>
        <v>0.95100000000000007</v>
      </c>
      <c r="F12">
        <f t="shared" si="3"/>
        <v>9.3397352771536344</v>
      </c>
      <c r="G12">
        <f t="shared" si="4"/>
        <v>-0.97999999999999987</v>
      </c>
      <c r="H12">
        <f t="shared" si="12"/>
        <v>4.6730839845329379</v>
      </c>
      <c r="I12">
        <f t="shared" si="13"/>
        <v>0.32120959746423533</v>
      </c>
      <c r="J12">
        <f t="shared" si="14"/>
        <v>9.6033415715573707</v>
      </c>
      <c r="L12">
        <v>0.8</v>
      </c>
      <c r="M12">
        <f t="shared" si="8"/>
        <v>5.4191914819928746</v>
      </c>
    </row>
    <row r="13" spans="1:14">
      <c r="C13">
        <f t="shared" si="15"/>
        <v>1.01</v>
      </c>
      <c r="D13">
        <f t="shared" si="1"/>
        <v>4.0273708804868997</v>
      </c>
      <c r="E13" s="1">
        <f t="shared" si="2"/>
        <v>0.94071000000000005</v>
      </c>
      <c r="F13">
        <f t="shared" si="3"/>
        <v>9.3397352771536344</v>
      </c>
      <c r="G13">
        <f t="shared" si="4"/>
        <v>-1.0779999999999998</v>
      </c>
      <c r="H13">
        <f t="shared" si="12"/>
        <v>4.6409630247865143</v>
      </c>
      <c r="I13">
        <f t="shared" si="13"/>
        <v>0.32011138571857906</v>
      </c>
      <c r="J13">
        <f t="shared" si="14"/>
        <v>9.5703942498125745</v>
      </c>
      <c r="L13">
        <v>0.9</v>
      </c>
      <c r="M13">
        <f t="shared" si="8"/>
        <v>5.4191914819928746</v>
      </c>
    </row>
    <row r="14" spans="1:14">
      <c r="C14">
        <f t="shared" si="15"/>
        <v>1.1100000000000001</v>
      </c>
      <c r="D14">
        <f t="shared" si="1"/>
        <v>4.1207682332584357</v>
      </c>
      <c r="E14" s="1">
        <f t="shared" si="2"/>
        <v>0.92944000000000004</v>
      </c>
      <c r="F14">
        <f t="shared" si="3"/>
        <v>9.3397352771536344</v>
      </c>
      <c r="G14">
        <f t="shared" si="4"/>
        <v>-1.1759999999999999</v>
      </c>
      <c r="H14">
        <f t="shared" si="12"/>
        <v>4.6089518862146566</v>
      </c>
      <c r="I14">
        <f t="shared" si="13"/>
        <v>0.31901314166041916</v>
      </c>
      <c r="J14">
        <f t="shared" si="14"/>
        <v>9.5374459519210735</v>
      </c>
      <c r="L14">
        <v>1</v>
      </c>
      <c r="M14">
        <f t="shared" si="8"/>
        <v>5.4191914819928746</v>
      </c>
    </row>
    <row r="15" spans="1:14">
      <c r="C15">
        <f t="shared" si="15"/>
        <v>1.2100000000000002</v>
      </c>
      <c r="D15">
        <f t="shared" si="1"/>
        <v>4.2141655860299716</v>
      </c>
      <c r="E15" s="1">
        <f t="shared" si="2"/>
        <v>0.91719000000000006</v>
      </c>
      <c r="F15">
        <f t="shared" si="3"/>
        <v>9.3397352771536344</v>
      </c>
      <c r="G15">
        <f t="shared" si="4"/>
        <v>-1.274</v>
      </c>
      <c r="H15">
        <f t="shared" si="12"/>
        <v>4.5770505720486145</v>
      </c>
      <c r="I15">
        <f t="shared" si="13"/>
        <v>0.31791486506403582</v>
      </c>
      <c r="J15">
        <f t="shared" si="14"/>
        <v>9.5044966710398331</v>
      </c>
      <c r="L15">
        <v>1.1000000000000001</v>
      </c>
      <c r="M15">
        <f t="shared" si="8"/>
        <v>5.4191914819928746</v>
      </c>
    </row>
    <row r="16" spans="1:14">
      <c r="C16">
        <f t="shared" si="15"/>
        <v>1.3100000000000003</v>
      </c>
      <c r="D16">
        <f t="shared" si="1"/>
        <v>4.3075629388015075</v>
      </c>
      <c r="E16" s="1">
        <f t="shared" si="2"/>
        <v>0.9039600000000001</v>
      </c>
      <c r="F16">
        <f t="shared" si="3"/>
        <v>9.3397352771536344</v>
      </c>
      <c r="G16">
        <f t="shared" si="4"/>
        <v>-1.3720000000000001</v>
      </c>
      <c r="H16">
        <f t="shared" si="12"/>
        <v>4.5452590855422113</v>
      </c>
      <c r="I16">
        <f t="shared" si="13"/>
        <v>0.31681655570132777</v>
      </c>
      <c r="J16">
        <f t="shared" si="14"/>
        <v>9.4715464002533842</v>
      </c>
      <c r="L16">
        <v>1.2000000000000002</v>
      </c>
      <c r="M16">
        <f t="shared" si="8"/>
        <v>5.4191914819928746</v>
      </c>
    </row>
    <row r="17" spans="3:13">
      <c r="C17">
        <f t="shared" si="15"/>
        <v>1.4100000000000004</v>
      </c>
      <c r="D17">
        <f t="shared" si="1"/>
        <v>4.4009602915730435</v>
      </c>
      <c r="E17" s="1">
        <f t="shared" si="2"/>
        <v>0.88975000000000015</v>
      </c>
      <c r="F17">
        <f t="shared" si="3"/>
        <v>9.3397352771536344</v>
      </c>
      <c r="G17">
        <f t="shared" si="4"/>
        <v>-1.4700000000000002</v>
      </c>
      <c r="H17">
        <f t="shared" si="12"/>
        <v>4.5135774299720781</v>
      </c>
      <c r="I17">
        <f t="shared" si="13"/>
        <v>0.31571821334177946</v>
      </c>
      <c r="J17">
        <f t="shared" si="14"/>
        <v>9.4385951325728215</v>
      </c>
      <c r="L17">
        <v>1.3</v>
      </c>
      <c r="M17">
        <f t="shared" si="8"/>
        <v>5.4191914819928746</v>
      </c>
    </row>
    <row r="18" spans="3:13">
      <c r="C18">
        <f t="shared" si="15"/>
        <v>1.5100000000000005</v>
      </c>
      <c r="D18">
        <f t="shared" si="1"/>
        <v>4.4943576443445794</v>
      </c>
      <c r="E18" s="1">
        <f t="shared" si="2"/>
        <v>0.87456000000000012</v>
      </c>
      <c r="F18">
        <f t="shared" si="3"/>
        <v>9.3397352771536344</v>
      </c>
      <c r="G18">
        <f t="shared" si="4"/>
        <v>-1.5680000000000003</v>
      </c>
      <c r="H18">
        <f t="shared" si="12"/>
        <v>4.4820056086379001</v>
      </c>
      <c r="I18">
        <f t="shared" si="13"/>
        <v>0.31461983775242741</v>
      </c>
      <c r="J18">
        <f t="shared" si="14"/>
        <v>9.4056428609347442</v>
      </c>
      <c r="L18">
        <v>1.4000000000000001</v>
      </c>
      <c r="M18">
        <f t="shared" si="8"/>
        <v>5.4191914819928746</v>
      </c>
    </row>
    <row r="19" spans="3:13">
      <c r="C19">
        <f t="shared" si="15"/>
        <v>1.6100000000000005</v>
      </c>
      <c r="D19">
        <f t="shared" si="1"/>
        <v>4.5877549971161153</v>
      </c>
      <c r="E19" s="1">
        <f t="shared" si="2"/>
        <v>0.8583900000000001</v>
      </c>
      <c r="F19">
        <f t="shared" si="3"/>
        <v>9.3397352771536344</v>
      </c>
      <c r="G19">
        <f t="shared" si="4"/>
        <v>-1.6660000000000004</v>
      </c>
      <c r="H19">
        <f t="shared" si="12"/>
        <v>4.4505436248626573</v>
      </c>
      <c r="I19">
        <f t="shared" si="13"/>
        <v>0.31352142869782479</v>
      </c>
      <c r="J19">
        <f t="shared" si="14"/>
        <v>9.3726895782002106</v>
      </c>
      <c r="L19">
        <v>1.5</v>
      </c>
      <c r="M19">
        <f t="shared" si="8"/>
        <v>5.4191914819928746</v>
      </c>
    </row>
    <row r="20" spans="3:13">
      <c r="C20">
        <f>C19+$B$6</f>
        <v>1.7100000000000006</v>
      </c>
      <c r="D20">
        <f t="shared" si="1"/>
        <v>4.6811523498876513</v>
      </c>
      <c r="E20" s="1">
        <f t="shared" si="2"/>
        <v>0.8412400000000001</v>
      </c>
      <c r="F20">
        <f t="shared" si="3"/>
        <v>9.3397352771536344</v>
      </c>
      <c r="G20">
        <f t="shared" si="4"/>
        <v>-1.7640000000000005</v>
      </c>
      <c r="H20">
        <f t="shared" si="12"/>
        <v>4.4191914819928746</v>
      </c>
      <c r="I20">
        <f t="shared" si="13"/>
        <v>0.312422985940007</v>
      </c>
      <c r="J20">
        <f t="shared" si="14"/>
        <v>9.3397352771536344</v>
      </c>
      <c r="L20">
        <v>1.6</v>
      </c>
      <c r="M20">
        <f t="shared" si="8"/>
        <v>5.4191914819928746</v>
      </c>
    </row>
    <row r="21" spans="3:13">
      <c r="C21">
        <f t="shared" ref="C21:C33" si="16">C20+$B$6</f>
        <v>1.8100000000000007</v>
      </c>
      <c r="D21">
        <f t="shared" si="1"/>
        <v>4.7745497026591872</v>
      </c>
      <c r="E21" s="1">
        <f t="shared" si="2"/>
        <v>0.82311000000000012</v>
      </c>
      <c r="F21">
        <f t="shared" si="3"/>
        <v>9.3397352771536344</v>
      </c>
      <c r="G21">
        <f t="shared" si="4"/>
        <v>-1.8620000000000005</v>
      </c>
      <c r="H21">
        <f t="shared" si="12"/>
        <v>4.3879491833988737</v>
      </c>
      <c r="I21">
        <f t="shared" si="13"/>
        <v>0.31132450923845451</v>
      </c>
      <c r="J21">
        <f t="shared" si="14"/>
        <v>9.3067799505016957</v>
      </c>
      <c r="L21">
        <v>1.7000000000000002</v>
      </c>
      <c r="M21">
        <f t="shared" si="8"/>
        <v>5.4191914819928746</v>
      </c>
    </row>
    <row r="22" spans="3:13">
      <c r="C22">
        <f t="shared" si="16"/>
        <v>1.9100000000000008</v>
      </c>
      <c r="D22">
        <f t="shared" si="1"/>
        <v>4.8679470554307231</v>
      </c>
      <c r="E22" s="1">
        <f t="shared" si="2"/>
        <v>0.80400000000000016</v>
      </c>
      <c r="F22">
        <f t="shared" si="3"/>
        <v>9.3397352771536344</v>
      </c>
      <c r="G22">
        <f t="shared" si="4"/>
        <v>-1.9600000000000006</v>
      </c>
      <c r="H22">
        <f t="shared" si="12"/>
        <v>4.3568167324750284</v>
      </c>
      <c r="I22">
        <f t="shared" si="13"/>
        <v>0.31022599835005654</v>
      </c>
      <c r="J22">
        <f t="shared" si="14"/>
        <v>9.27382359087221</v>
      </c>
      <c r="L22">
        <v>1.8</v>
      </c>
      <c r="M22">
        <f t="shared" si="8"/>
        <v>5.4191914819928746</v>
      </c>
    </row>
    <row r="23" spans="3:13">
      <c r="C23">
        <f t="shared" si="16"/>
        <v>2.0100000000000007</v>
      </c>
      <c r="D23">
        <f t="shared" si="1"/>
        <v>4.9613444082022591</v>
      </c>
      <c r="E23" s="1">
        <f t="shared" si="2"/>
        <v>0.78391000000000022</v>
      </c>
      <c r="F23">
        <f t="shared" si="3"/>
        <v>9.3397352771536344</v>
      </c>
      <c r="G23">
        <f t="shared" si="4"/>
        <v>-2.0580000000000007</v>
      </c>
      <c r="H23">
        <f t="shared" si="12"/>
        <v>4.3257941326400227</v>
      </c>
      <c r="I23">
        <f t="shared" si="13"/>
        <v>0.30912745302907368</v>
      </c>
      <c r="J23">
        <f t="shared" si="14"/>
        <v>9.240866190812989</v>
      </c>
      <c r="L23">
        <v>1.9000000000000001</v>
      </c>
      <c r="M23">
        <f t="shared" si="8"/>
        <v>5.4191914819928746</v>
      </c>
    </row>
    <row r="24" spans="3:13">
      <c r="C24">
        <f t="shared" si="16"/>
        <v>2.1100000000000008</v>
      </c>
      <c r="D24">
        <f t="shared" si="1"/>
        <v>5.054741760973795</v>
      </c>
      <c r="E24" s="1">
        <f t="shared" si="2"/>
        <v>0.76284000000000018</v>
      </c>
      <c r="F24">
        <f t="shared" si="3"/>
        <v>9.3397352771536344</v>
      </c>
      <c r="G24">
        <f t="shared" si="4"/>
        <v>-2.1560000000000006</v>
      </c>
      <c r="H24">
        <f t="shared" si="12"/>
        <v>4.2948813873371154</v>
      </c>
      <c r="I24">
        <f t="shared" si="13"/>
        <v>0.30802887302709964</v>
      </c>
      <c r="J24">
        <f t="shared" si="14"/>
        <v>9.2079077427906739</v>
      </c>
      <c r="L24">
        <v>2</v>
      </c>
      <c r="M24">
        <f t="shared" si="8"/>
        <v>5.4191914819928746</v>
      </c>
    </row>
    <row r="25" spans="3:13">
      <c r="C25">
        <f t="shared" si="16"/>
        <v>2.2100000000000009</v>
      </c>
      <c r="D25">
        <f t="shared" si="1"/>
        <v>5.148139113745331</v>
      </c>
      <c r="E25" s="1">
        <f t="shared" si="2"/>
        <v>0.74079000000000017</v>
      </c>
      <c r="F25">
        <f t="shared" si="3"/>
        <v>9.3397352771536344</v>
      </c>
      <c r="G25">
        <f t="shared" si="4"/>
        <v>-2.2540000000000004</v>
      </c>
      <c r="H25">
        <f t="shared" si="12"/>
        <v>4.2640785000344055</v>
      </c>
      <c r="I25">
        <f t="shared" si="13"/>
        <v>0.30693025809302249</v>
      </c>
      <c r="J25">
        <f t="shared" si="14"/>
        <v>9.1749482391895523</v>
      </c>
      <c r="L25">
        <v>2.1</v>
      </c>
      <c r="M25">
        <f t="shared" si="8"/>
        <v>5.4191914819928746</v>
      </c>
    </row>
    <row r="26" spans="3:13">
      <c r="C26">
        <f t="shared" si="16"/>
        <v>2.3100000000000009</v>
      </c>
      <c r="D26">
        <f t="shared" si="1"/>
        <v>5.2415364665168669</v>
      </c>
      <c r="E26" s="1">
        <f t="shared" si="2"/>
        <v>0.71776000000000018</v>
      </c>
      <c r="F26">
        <f t="shared" si="3"/>
        <v>9.3397352771536344</v>
      </c>
      <c r="G26">
        <f t="shared" si="4"/>
        <v>-2.3520000000000003</v>
      </c>
      <c r="H26">
        <f t="shared" si="12"/>
        <v>4.2333854742251029</v>
      </c>
      <c r="I26">
        <f t="shared" si="13"/>
        <v>0.30583160797298509</v>
      </c>
      <c r="J26">
        <f t="shared" si="14"/>
        <v>9.1419876723103464</v>
      </c>
      <c r="L26">
        <v>2.2000000000000002</v>
      </c>
      <c r="M26">
        <f t="shared" si="8"/>
        <v>5.4191914819928746</v>
      </c>
    </row>
    <row r="27" spans="3:13">
      <c r="C27">
        <f t="shared" si="16"/>
        <v>2.410000000000001</v>
      </c>
      <c r="D27">
        <f t="shared" si="1"/>
        <v>5.3349338192884028</v>
      </c>
      <c r="E27" s="1">
        <f t="shared" si="2"/>
        <v>0.6937500000000002</v>
      </c>
      <c r="F27">
        <f t="shared" si="3"/>
        <v>9.3397352771536344</v>
      </c>
      <c r="G27">
        <f t="shared" si="4"/>
        <v>-2.4500000000000002</v>
      </c>
      <c r="H27">
        <f t="shared" si="12"/>
        <v>4.2028023134278047</v>
      </c>
      <c r="I27">
        <f t="shared" si="13"/>
        <v>0.30473292241034489</v>
      </c>
      <c r="J27">
        <f t="shared" si="14"/>
        <v>9.1090260343689895</v>
      </c>
      <c r="L27">
        <v>2.3000000000000003</v>
      </c>
      <c r="M27">
        <f t="shared" si="8"/>
        <v>5.4191914819928746</v>
      </c>
    </row>
    <row r="28" spans="3:13">
      <c r="C28">
        <f t="shared" si="16"/>
        <v>2.5100000000000011</v>
      </c>
      <c r="D28">
        <f t="shared" si="1"/>
        <v>5.4283311720599388</v>
      </c>
      <c r="E28" s="1">
        <f t="shared" si="2"/>
        <v>0.66876000000000024</v>
      </c>
      <c r="F28">
        <f t="shared" si="3"/>
        <v>9.3397352771536344</v>
      </c>
      <c r="G28">
        <f t="shared" si="4"/>
        <v>-2.548</v>
      </c>
      <c r="H28">
        <f t="shared" si="12"/>
        <v>4.1723290211867701</v>
      </c>
      <c r="I28">
        <f t="shared" si="13"/>
        <v>0.303634201145633</v>
      </c>
      <c r="J28">
        <f t="shared" si="14"/>
        <v>9.0760633174953664</v>
      </c>
      <c r="L28">
        <v>2.4000000000000004</v>
      </c>
      <c r="M28">
        <f t="shared" si="8"/>
        <v>5.4191914819928746</v>
      </c>
    </row>
    <row r="29" spans="3:13">
      <c r="C29">
        <f t="shared" si="16"/>
        <v>2.6100000000000012</v>
      </c>
      <c r="D29">
        <f t="shared" si="1"/>
        <v>5.5217285248314747</v>
      </c>
      <c r="E29" s="1">
        <f t="shared" si="2"/>
        <v>0.64279000000000031</v>
      </c>
      <c r="F29">
        <f t="shared" si="3"/>
        <v>9.3397352771536344</v>
      </c>
      <c r="G29">
        <f t="shared" si="4"/>
        <v>-2.6459999999999999</v>
      </c>
      <c r="H29">
        <f t="shared" si="12"/>
        <v>4.141965601072207</v>
      </c>
      <c r="I29">
        <f t="shared" si="13"/>
        <v>0.30253544391651221</v>
      </c>
      <c r="J29">
        <f t="shared" si="14"/>
        <v>9.0430995137320433</v>
      </c>
      <c r="L29">
        <v>2.5</v>
      </c>
      <c r="M29">
        <f t="shared" si="8"/>
        <v>5.4191914819928746</v>
      </c>
    </row>
    <row r="30" spans="3:13">
      <c r="C30">
        <f t="shared" si="16"/>
        <v>2.7100000000000013</v>
      </c>
      <c r="D30">
        <f t="shared" si="1"/>
        <v>5.6151258776030106</v>
      </c>
      <c r="E30" s="1">
        <f t="shared" si="2"/>
        <v>0.61584000000000028</v>
      </c>
      <c r="F30">
        <f t="shared" si="3"/>
        <v>9.3397352771536344</v>
      </c>
      <c r="G30">
        <f t="shared" si="4"/>
        <v>-2.7439999999999998</v>
      </c>
      <c r="H30">
        <f t="shared" si="12"/>
        <v>4.1117120566805561</v>
      </c>
      <c r="I30">
        <f t="shared" si="13"/>
        <v>0.30143665045773477</v>
      </c>
      <c r="J30">
        <f t="shared" si="14"/>
        <v>9.0101346150329658</v>
      </c>
      <c r="L30">
        <v>2.6</v>
      </c>
      <c r="M30">
        <f t="shared" si="8"/>
        <v>5.4191914819928746</v>
      </c>
    </row>
    <row r="31" spans="3:13">
      <c r="C31">
        <f t="shared" si="16"/>
        <v>2.8100000000000014</v>
      </c>
      <c r="D31">
        <f t="shared" si="1"/>
        <v>5.7085232303745466</v>
      </c>
      <c r="E31" s="1">
        <f t="shared" si="2"/>
        <v>0.58791000000000027</v>
      </c>
      <c r="F31">
        <f t="shared" si="3"/>
        <v>9.3397352771536344</v>
      </c>
      <c r="G31">
        <f t="shared" si="4"/>
        <v>-2.8419999999999996</v>
      </c>
      <c r="H31">
        <f t="shared" si="12"/>
        <v>4.0815683916347822</v>
      </c>
      <c r="I31">
        <f t="shared" si="13"/>
        <v>0.30033782050109886</v>
      </c>
      <c r="J31">
        <f t="shared" si="14"/>
        <v>8.9771686132621404</v>
      </c>
      <c r="L31">
        <v>2.7</v>
      </c>
      <c r="M31">
        <f t="shared" si="8"/>
        <v>5.4191914819928746</v>
      </c>
    </row>
    <row r="32" spans="3:13">
      <c r="C32">
        <f t="shared" si="16"/>
        <v>2.9100000000000015</v>
      </c>
      <c r="D32">
        <f t="shared" si="1"/>
        <v>5.8019205831460825</v>
      </c>
      <c r="E32" s="1">
        <f t="shared" si="2"/>
        <v>0.55900000000000027</v>
      </c>
      <c r="F32">
        <f t="shared" si="3"/>
        <v>9.3397352771536344</v>
      </c>
      <c r="G32">
        <f t="shared" si="4"/>
        <v>-2.9399999999999995</v>
      </c>
      <c r="H32">
        <f t="shared" si="12"/>
        <v>4.0515346095846727</v>
      </c>
      <c r="I32">
        <f t="shared" si="13"/>
        <v>0.29923895377540471</v>
      </c>
      <c r="J32">
        <f t="shared" si="14"/>
        <v>8.9442015001922748</v>
      </c>
      <c r="L32">
        <v>2.8000000000000003</v>
      </c>
      <c r="M32">
        <f t="shared" si="8"/>
        <v>5.4191914819928746</v>
      </c>
    </row>
    <row r="33" spans="3:13">
      <c r="C33">
        <f t="shared" si="16"/>
        <v>3.0100000000000016</v>
      </c>
      <c r="D33">
        <f t="shared" si="1"/>
        <v>5.8953179359176184</v>
      </c>
      <c r="E33" s="1">
        <f t="shared" si="2"/>
        <v>0.5291100000000003</v>
      </c>
      <c r="F33">
        <f t="shared" si="3"/>
        <v>9.3397352771536344</v>
      </c>
      <c r="G33">
        <f t="shared" si="4"/>
        <v>-3.0379999999999994</v>
      </c>
      <c r="H33">
        <f t="shared" si="12"/>
        <v>4.0216107142071325</v>
      </c>
      <c r="I33">
        <f t="shared" si="13"/>
        <v>0.29814005000640914</v>
      </c>
      <c r="J33">
        <f t="shared" si="14"/>
        <v>8.911233267503416</v>
      </c>
      <c r="L33">
        <v>2.9000000000000004</v>
      </c>
      <c r="M33">
        <f t="shared" si="8"/>
        <v>5.4191914819928746</v>
      </c>
    </row>
    <row r="34" spans="3:13">
      <c r="C34">
        <v>0.32000000000000012</v>
      </c>
      <c r="D34">
        <f t="shared" si="1"/>
        <v>5.9887152886891544</v>
      </c>
      <c r="E34" s="1">
        <f t="shared" si="2"/>
        <v>0.49824000000000029</v>
      </c>
      <c r="F34">
        <f t="shared" si="3"/>
        <v>9.3397352771536344</v>
      </c>
      <c r="G34">
        <f t="shared" si="4"/>
        <v>-3.1359999999999992</v>
      </c>
      <c r="H34">
        <f t="shared" si="12"/>
        <v>3.9917967092064917</v>
      </c>
      <c r="I34">
        <f t="shared" si="13"/>
        <v>0.29704110891678054</v>
      </c>
      <c r="J34">
        <f t="shared" si="14"/>
        <v>8.8782639067815392</v>
      </c>
      <c r="L34">
        <v>3</v>
      </c>
      <c r="M34">
        <f t="shared" si="8"/>
        <v>5.4191914819928746</v>
      </c>
    </row>
    <row r="35" spans="3:13">
      <c r="C35">
        <v>0.33000000000000013</v>
      </c>
      <c r="D35">
        <f t="shared" si="1"/>
        <v>6.0821126414606903</v>
      </c>
      <c r="E35" s="1">
        <f t="shared" si="2"/>
        <v>0.4663900000000003</v>
      </c>
      <c r="F35">
        <f t="shared" si="3"/>
        <v>9.3397352771536344</v>
      </c>
      <c r="G35">
        <f t="shared" si="4"/>
        <v>-3.2339999999999991</v>
      </c>
      <c r="H35">
        <f t="shared" si="12"/>
        <v>3.9620925983148134</v>
      </c>
      <c r="I35">
        <f t="shared" si="13"/>
        <v>0.29594213022605131</v>
      </c>
      <c r="J35">
        <f t="shared" si="14"/>
        <v>8.8452934095171347</v>
      </c>
    </row>
    <row r="36" spans="3:13">
      <c r="C36">
        <v>0.34000000000000008</v>
      </c>
      <c r="D36">
        <f t="shared" si="1"/>
        <v>6.1755099942322262</v>
      </c>
      <c r="E36" s="1">
        <f t="shared" si="2"/>
        <v>0.43356000000000033</v>
      </c>
      <c r="F36">
        <f t="shared" si="3"/>
        <v>9.3397352771536344</v>
      </c>
      <c r="G36">
        <f t="shared" si="4"/>
        <v>-3.331999999999999</v>
      </c>
      <c r="H36">
        <f t="shared" si="12"/>
        <v>3.9324983852922082</v>
      </c>
      <c r="I36">
        <f t="shared" si="13"/>
        <v>0.2948431136505712</v>
      </c>
      <c r="J36">
        <f t="shared" si="14"/>
        <v>8.8123217671037377</v>
      </c>
    </row>
    <row r="37" spans="3:13">
      <c r="C37">
        <v>0.35000000000000009</v>
      </c>
      <c r="D37">
        <f t="shared" si="1"/>
        <v>6.2689073470037622</v>
      </c>
      <c r="E37" s="1">
        <f t="shared" si="2"/>
        <v>0.39975000000000038</v>
      </c>
      <c r="F37">
        <f t="shared" si="3"/>
        <v>9.3397352771536344</v>
      </c>
      <c r="G37">
        <f t="shared" si="4"/>
        <v>-3.4299999999999988</v>
      </c>
      <c r="H37">
        <f t="shared" si="12"/>
        <v>3.9030140739271513</v>
      </c>
      <c r="I37">
        <f t="shared" si="13"/>
        <v>0.29374405890345795</v>
      </c>
      <c r="J37">
        <f t="shared" si="14"/>
        <v>8.7793489708364643</v>
      </c>
    </row>
    <row r="38" spans="3:13">
      <c r="C38">
        <v>0.3600000000000001</v>
      </c>
      <c r="D38">
        <f t="shared" si="1"/>
        <v>6.3623046997752981</v>
      </c>
      <c r="E38" s="1">
        <f t="shared" si="2"/>
        <v>0.3649600000000004</v>
      </c>
      <c r="F38">
        <f t="shared" si="3"/>
        <v>9.3397352771536344</v>
      </c>
      <c r="G38">
        <f t="shared" si="4"/>
        <v>-3.5279999999999987</v>
      </c>
      <c r="H38">
        <f t="shared" si="12"/>
        <v>3.8736396680368053</v>
      </c>
      <c r="I38">
        <f t="shared" si="13"/>
        <v>0.29264496569454884</v>
      </c>
      <c r="J38">
        <f t="shared" si="14"/>
        <v>8.7463750119104873</v>
      </c>
    </row>
    <row r="39" spans="3:13">
      <c r="C39">
        <v>0.37000000000000011</v>
      </c>
      <c r="D39">
        <f t="shared" si="1"/>
        <v>6.455702052546834</v>
      </c>
      <c r="E39" s="1">
        <f t="shared" si="2"/>
        <v>0.32919000000000043</v>
      </c>
      <c r="F39">
        <f t="shared" si="3"/>
        <v>9.3397352771536344</v>
      </c>
      <c r="G39">
        <f t="shared" si="4"/>
        <v>-3.6259999999999986</v>
      </c>
      <c r="H39">
        <f t="shared" si="12"/>
        <v>3.8443751714673504</v>
      </c>
      <c r="I39">
        <f t="shared" si="13"/>
        <v>0.29154583373034959</v>
      </c>
      <c r="J39">
        <f t="shared" si="14"/>
        <v>8.7133998814195017</v>
      </c>
    </row>
    <row r="40" spans="3:13">
      <c r="C40">
        <v>0.38000000000000012</v>
      </c>
      <c r="D40">
        <f t="shared" si="1"/>
        <v>6.54909940531837</v>
      </c>
      <c r="E40" s="1">
        <f t="shared" si="2"/>
        <v>0.29244000000000048</v>
      </c>
      <c r="F40">
        <f t="shared" si="3"/>
        <v>9.3397352771536344</v>
      </c>
      <c r="G40">
        <f t="shared" si="4"/>
        <v>-3.7239999999999984</v>
      </c>
      <c r="H40">
        <f t="shared" si="12"/>
        <v>3.8152205880943155</v>
      </c>
      <c r="I40">
        <f t="shared" si="13"/>
        <v>0.29044666271398339</v>
      </c>
      <c r="J40">
        <f t="shared" si="14"/>
        <v>8.6804235703541615</v>
      </c>
    </row>
    <row r="41" spans="3:13">
      <c r="C41">
        <v>0.39000000000000012</v>
      </c>
      <c r="D41">
        <f t="shared" si="1"/>
        <v>6.6424967580899059</v>
      </c>
      <c r="E41" s="1">
        <f t="shared" si="2"/>
        <v>0.25471000000000049</v>
      </c>
      <c r="F41">
        <f t="shared" si="3"/>
        <v>9.3397352771536344</v>
      </c>
      <c r="G41">
        <f t="shared" si="4"/>
        <v>-3.8219999999999983</v>
      </c>
      <c r="H41">
        <f t="shared" si="12"/>
        <v>3.7861759218229172</v>
      </c>
      <c r="I41">
        <f t="shared" si="13"/>
        <v>0.28934745234513876</v>
      </c>
      <c r="J41">
        <f t="shared" si="14"/>
        <v>8.647446069600468</v>
      </c>
    </row>
    <row r="42" spans="3:13">
      <c r="C42">
        <v>0.40000000000000013</v>
      </c>
      <c r="D42">
        <f t="shared" si="1"/>
        <v>6.7358941108614419</v>
      </c>
      <c r="E42" s="1">
        <f t="shared" si="2"/>
        <v>0.21600000000000052</v>
      </c>
      <c r="F42">
        <f t="shared" si="3"/>
        <v>9.3397352771536344</v>
      </c>
      <c r="G42">
        <f t="shared" si="4"/>
        <v>-3.9199999999999982</v>
      </c>
      <c r="H42">
        <f t="shared" si="12"/>
        <v>3.7572411765884035</v>
      </c>
      <c r="I42">
        <f t="shared" si="13"/>
        <v>0.28824820232001563</v>
      </c>
      <c r="J42">
        <f t="shared" si="14"/>
        <v>8.6144673699381542</v>
      </c>
    </row>
    <row r="43" spans="3:13">
      <c r="C43">
        <v>0.41000000000000014</v>
      </c>
      <c r="D43">
        <f t="shared" si="1"/>
        <v>6.8292914636329778</v>
      </c>
      <c r="E43" s="1">
        <f t="shared" si="2"/>
        <v>0.17631000000000055</v>
      </c>
      <c r="F43">
        <f t="shared" si="3"/>
        <v>9.3397352771536344</v>
      </c>
      <c r="G43">
        <f t="shared" si="4"/>
        <v>-4.017999999999998</v>
      </c>
      <c r="H43">
        <f t="shared" si="12"/>
        <v>3.7284163563564019</v>
      </c>
      <c r="I43">
        <f t="shared" si="13"/>
        <v>0.28714891233127182</v>
      </c>
      <c r="J43">
        <f t="shared" si="14"/>
        <v>8.5814874620390089</v>
      </c>
    </row>
    <row r="44" spans="3:13">
      <c r="C44">
        <v>0.4200000000000001</v>
      </c>
      <c r="D44">
        <f t="shared" si="1"/>
        <v>6.9226888164045137</v>
      </c>
      <c r="E44" s="1">
        <f t="shared" si="2"/>
        <v>0.13564000000000059</v>
      </c>
      <c r="F44">
        <f t="shared" si="3"/>
        <v>9.3397352771536344</v>
      </c>
      <c r="G44">
        <f t="shared" si="4"/>
        <v>-4.1159999999999979</v>
      </c>
      <c r="H44">
        <f t="shared" si="12"/>
        <v>3.6997014651232747</v>
      </c>
      <c r="I44">
        <f t="shared" si="13"/>
        <v>0.28604958206796699</v>
      </c>
      <c r="J44">
        <f t="shared" si="14"/>
        <v>8.5485063364651879</v>
      </c>
    </row>
    <row r="45" spans="3:13">
      <c r="C45">
        <v>0.4300000000000001</v>
      </c>
      <c r="D45">
        <f t="shared" si="1"/>
        <v>7.0160861691760497</v>
      </c>
      <c r="E45" s="1">
        <f t="shared" si="2"/>
        <v>9.3990000000000615E-2</v>
      </c>
      <c r="F45">
        <f t="shared" si="3"/>
        <v>9.3397352771536344</v>
      </c>
      <c r="G45">
        <f t="shared" si="4"/>
        <v>-4.2139999999999977</v>
      </c>
      <c r="H45">
        <f t="shared" si="12"/>
        <v>3.671096506916478</v>
      </c>
      <c r="I45">
        <f t="shared" si="13"/>
        <v>0.28495021121550629</v>
      </c>
      <c r="J45">
        <f t="shared" si="14"/>
        <v>8.515523983667487</v>
      </c>
    </row>
    <row r="46" spans="3:13">
      <c r="C46">
        <v>0.44000000000000011</v>
      </c>
      <c r="D46">
        <f t="shared" si="1"/>
        <v>7.1094835219475856</v>
      </c>
      <c r="E46" s="1">
        <f t="shared" si="2"/>
        <v>5.1360000000000641E-2</v>
      </c>
      <c r="F46">
        <f t="shared" si="3"/>
        <v>9.3397352771536344</v>
      </c>
      <c r="G46">
        <f t="shared" si="4"/>
        <v>-4.3119999999999976</v>
      </c>
      <c r="H46">
        <f t="shared" si="12"/>
        <v>3.6426014857949274</v>
      </c>
      <c r="I46">
        <f t="shared" si="13"/>
        <v>0.28385079945558295</v>
      </c>
      <c r="J46">
        <f t="shared" si="14"/>
        <v>8.4825403939835713</v>
      </c>
    </row>
    <row r="47" spans="3:13">
      <c r="C47">
        <v>0.45000000000000012</v>
      </c>
      <c r="D47">
        <f t="shared" si="1"/>
        <v>7.2028808747191215</v>
      </c>
      <c r="E47" s="1">
        <f t="shared" si="2"/>
        <v>7.7500000000006635E-3</v>
      </c>
      <c r="F47">
        <f t="shared" si="3"/>
        <v>9.3397352771536344</v>
      </c>
      <c r="G47">
        <f t="shared" si="4"/>
        <v>-4.4099999999999975</v>
      </c>
      <c r="H47">
        <f t="shared" si="12"/>
        <v>3.6142164058493691</v>
      </c>
      <c r="I47">
        <f t="shared" si="13"/>
        <v>0.28275134646611905</v>
      </c>
      <c r="J47">
        <f t="shared" si="14"/>
        <v>8.449555557636188</v>
      </c>
    </row>
    <row r="48" spans="3:13">
      <c r="C48">
        <v>0.46000000000000008</v>
      </c>
      <c r="D48">
        <f t="shared" si="1"/>
        <v>7.2962782274906575</v>
      </c>
      <c r="E48" s="1">
        <f t="shared" si="2"/>
        <v>-3.6839999999999304E-2</v>
      </c>
      <c r="F48">
        <f t="shared" si="3"/>
        <v>9.3397352771536344</v>
      </c>
      <c r="G48">
        <f t="shared" si="4"/>
        <v>-4.5079999999999973</v>
      </c>
      <c r="H48">
        <f t="shared" si="12"/>
        <v>3.5859412712027572</v>
      </c>
      <c r="I48">
        <f t="shared" si="13"/>
        <v>0.28165185192120629</v>
      </c>
      <c r="J48">
        <f t="shared" si="14"/>
        <v>8.4165694647313192</v>
      </c>
    </row>
    <row r="49" spans="3:10">
      <c r="C49">
        <v>0.47000000000000008</v>
      </c>
      <c r="D49">
        <f t="shared" si="1"/>
        <v>7.3896755802621934</v>
      </c>
      <c r="E49" s="1">
        <f t="shared" si="2"/>
        <v>-8.2409999999999275E-2</v>
      </c>
      <c r="F49">
        <f t="shared" si="3"/>
        <v>9.3397352771536344</v>
      </c>
      <c r="G49">
        <f t="shared" si="4"/>
        <v>-4.6059999999999972</v>
      </c>
      <c r="H49">
        <f t="shared" si="12"/>
        <v>3.5577760860106364</v>
      </c>
      <c r="I49">
        <f t="shared" si="13"/>
        <v>0.28055231549104398</v>
      </c>
      <c r="J49">
        <f t="shared" si="14"/>
        <v>8.3835821052563233</v>
      </c>
    </row>
    <row r="50" spans="3:10">
      <c r="C50">
        <v>0.48000000000000009</v>
      </c>
      <c r="D50">
        <f t="shared" si="1"/>
        <v>7.4830729330337293</v>
      </c>
      <c r="E50" s="1">
        <f t="shared" si="2"/>
        <v>-0.12895999999999924</v>
      </c>
      <c r="F50">
        <f t="shared" si="3"/>
        <v>9.3397352771536344</v>
      </c>
      <c r="G50">
        <f t="shared" si="4"/>
        <v>-4.7039999999999971</v>
      </c>
      <c r="H50">
        <f t="shared" si="12"/>
        <v>3.5297208544615319</v>
      </c>
      <c r="I50">
        <f t="shared" si="13"/>
        <v>0.27945273684187749</v>
      </c>
      <c r="J50">
        <f t="shared" si="14"/>
        <v>8.3505934690780208</v>
      </c>
    </row>
    <row r="51" spans="3:10">
      <c r="C51">
        <v>0.4900000000000001</v>
      </c>
      <c r="D51">
        <f t="shared" si="1"/>
        <v>7.5764702858052653</v>
      </c>
      <c r="E51" s="1">
        <f t="shared" si="2"/>
        <v>-0.1764899999999992</v>
      </c>
      <c r="F51">
        <f t="shared" si="3"/>
        <v>9.3397352771536344</v>
      </c>
      <c r="G51">
        <f t="shared" si="4"/>
        <v>-4.8019999999999969</v>
      </c>
      <c r="H51">
        <f t="shared" si="12"/>
        <v>3.5017755807773443</v>
      </c>
      <c r="I51">
        <f t="shared" si="13"/>
        <v>0.27835311563593407</v>
      </c>
      <c r="J51">
        <f t="shared" si="14"/>
        <v>8.3176035459407434</v>
      </c>
    </row>
    <row r="52" spans="3:10">
      <c r="C52">
        <v>0.50000000000000011</v>
      </c>
      <c r="D52">
        <f t="shared" si="1"/>
        <v>7.6698676385768012</v>
      </c>
      <c r="E52" s="1">
        <f t="shared" si="2"/>
        <v>-0.22499999999999917</v>
      </c>
      <c r="F52">
        <f t="shared" si="3"/>
        <v>9.3397352771536344</v>
      </c>
      <c r="G52">
        <f t="shared" si="4"/>
        <v>-4.8999999999999968</v>
      </c>
      <c r="H52">
        <f t="shared" si="12"/>
        <v>3.4739402692137511</v>
      </c>
      <c r="I52">
        <f t="shared" si="13"/>
        <v>0.27725345153135811</v>
      </c>
      <c r="J52">
        <f t="shared" si="14"/>
        <v>8.2846123254643569</v>
      </c>
    </row>
    <row r="53" spans="3:10">
      <c r="C53">
        <v>0.51000000000000012</v>
      </c>
      <c r="D53">
        <f t="shared" si="1"/>
        <v>7.7632649913483371</v>
      </c>
      <c r="E53" s="1">
        <f t="shared" si="2"/>
        <v>-0.27448999999999912</v>
      </c>
      <c r="F53">
        <f t="shared" si="3"/>
        <v>9.3397352771536344</v>
      </c>
      <c r="G53">
        <f t="shared" si="4"/>
        <v>-4.9979999999999967</v>
      </c>
      <c r="H53">
        <f t="shared" si="12"/>
        <v>3.4462149240606155</v>
      </c>
      <c r="I53">
        <f t="shared" si="13"/>
        <v>0.27615374418214528</v>
      </c>
      <c r="J53">
        <f t="shared" si="14"/>
        <v>8.2516197971422258</v>
      </c>
    </row>
    <row r="54" spans="3:10">
      <c r="C54">
        <v>0.52000000000000013</v>
      </c>
      <c r="D54">
        <f t="shared" si="1"/>
        <v>7.8566623441198731</v>
      </c>
      <c r="E54" s="1">
        <f t="shared" si="2"/>
        <v>-0.32495999999999908</v>
      </c>
      <c r="F54">
        <f t="shared" si="3"/>
        <v>9.3397352771536344</v>
      </c>
      <c r="G54">
        <f t="shared" si="4"/>
        <v>-5.0959999999999965</v>
      </c>
      <c r="H54">
        <f t="shared" si="12"/>
        <v>3.4185995496424009</v>
      </c>
      <c r="I54">
        <f t="shared" si="13"/>
        <v>0.27505399323807422</v>
      </c>
      <c r="J54">
        <f t="shared" si="14"/>
        <v>8.218625950339149</v>
      </c>
    </row>
    <row r="55" spans="3:10">
      <c r="C55">
        <v>0.53000000000000014</v>
      </c>
      <c r="D55">
        <f t="shared" si="1"/>
        <v>7.950059696891409</v>
      </c>
      <c r="E55" s="1">
        <f t="shared" si="2"/>
        <v>-0.37640999999999902</v>
      </c>
      <c r="F55">
        <f t="shared" si="3"/>
        <v>9.3397352771536344</v>
      </c>
      <c r="G55">
        <f t="shared" si="4"/>
        <v>-5.1939999999999964</v>
      </c>
      <c r="H55">
        <f t="shared" si="12"/>
        <v>3.3910941503185934</v>
      </c>
      <c r="I55">
        <f t="shared" si="13"/>
        <v>0.2739541983446383</v>
      </c>
      <c r="J55">
        <f t="shared" si="14"/>
        <v>8.1856307742892405</v>
      </c>
    </row>
    <row r="56" spans="3:10">
      <c r="C56">
        <v>0.54000000000000015</v>
      </c>
      <c r="D56">
        <f t="shared" si="1"/>
        <v>8.0434570496629458</v>
      </c>
      <c r="E56" s="1">
        <f t="shared" si="2"/>
        <v>-0.428839999999999</v>
      </c>
      <c r="F56">
        <f t="shared" si="3"/>
        <v>9.3397352771536344</v>
      </c>
      <c r="G56">
        <f t="shared" si="4"/>
        <v>-5.2919999999999963</v>
      </c>
      <c r="H56">
        <f t="shared" si="12"/>
        <v>3.3636987304841295</v>
      </c>
      <c r="I56">
        <f t="shared" si="13"/>
        <v>0.27285435914297468</v>
      </c>
      <c r="J56">
        <f t="shared" si="14"/>
        <v>8.1526342580937872</v>
      </c>
    </row>
    <row r="57" spans="3:10">
      <c r="C57">
        <v>0.55000000000000004</v>
      </c>
      <c r="D57">
        <f t="shared" si="1"/>
        <v>8.1368544024344818</v>
      </c>
      <c r="E57" s="1">
        <f t="shared" si="2"/>
        <v>-0.48224999999999896</v>
      </c>
      <c r="F57">
        <f t="shared" si="3"/>
        <v>9.3397352771536344</v>
      </c>
      <c r="G57">
        <f t="shared" si="4"/>
        <v>-5.3899999999999961</v>
      </c>
      <c r="H57">
        <f t="shared" si="12"/>
        <v>3.3364132945698319</v>
      </c>
      <c r="I57">
        <f t="shared" si="13"/>
        <v>0.27175447526979291</v>
      </c>
      <c r="J57">
        <f t="shared" si="14"/>
        <v>8.119636390719041</v>
      </c>
    </row>
    <row r="58" spans="3:10">
      <c r="C58">
        <v>0.56000000000000005</v>
      </c>
      <c r="D58">
        <f t="shared" si="1"/>
        <v>8.2302517552060177</v>
      </c>
      <c r="E58" s="1">
        <f t="shared" si="2"/>
        <v>-0.5366399999999989</v>
      </c>
      <c r="F58">
        <f t="shared" si="3"/>
        <v>9.3397352771536344</v>
      </c>
      <c r="G58">
        <f t="shared" si="4"/>
        <v>-5.487999999999996</v>
      </c>
      <c r="H58">
        <f t="shared" si="12"/>
        <v>3.3092378470428527</v>
      </c>
      <c r="I58">
        <f t="shared" si="13"/>
        <v>0.27065454635730141</v>
      </c>
      <c r="J58">
        <f t="shared" si="14"/>
        <v>8.0866371609939751</v>
      </c>
    </row>
    <row r="59" spans="3:10">
      <c r="C59">
        <v>0.57000000000000006</v>
      </c>
      <c r="D59">
        <f t="shared" si="1"/>
        <v>8.3236491079775536</v>
      </c>
      <c r="E59" s="1">
        <f t="shared" si="2"/>
        <v>-0.59200999999999881</v>
      </c>
      <c r="F59">
        <f t="shared" si="3"/>
        <v>9.3397352771536344</v>
      </c>
      <c r="G59">
        <f t="shared" si="4"/>
        <v>-5.5859999999999959</v>
      </c>
      <c r="H59">
        <f t="shared" si="12"/>
        <v>3.2821723924071224</v>
      </c>
      <c r="I59">
        <f t="shared" si="13"/>
        <v>0.26955457203313254</v>
      </c>
      <c r="J59">
        <f t="shared" si="14"/>
        <v>8.0536365576079927</v>
      </c>
    </row>
    <row r="60" spans="3:10">
      <c r="C60">
        <v>0.58000000000000007</v>
      </c>
      <c r="D60">
        <f t="shared" si="1"/>
        <v>8.4170464607490896</v>
      </c>
      <c r="E60" s="1">
        <f t="shared" si="2"/>
        <v>-0.64835999999999872</v>
      </c>
      <c r="F60">
        <f t="shared" si="3"/>
        <v>9.3397352771536344</v>
      </c>
      <c r="G60">
        <f t="shared" si="4"/>
        <v>-5.6839999999999957</v>
      </c>
      <c r="H60">
        <f t="shared" si="12"/>
        <v>3.2552169352038094</v>
      </c>
      <c r="I60">
        <f t="shared" si="13"/>
        <v>0.2684545519202664</v>
      </c>
      <c r="J60">
        <f t="shared" si="14"/>
        <v>8.0206345691085819</v>
      </c>
    </row>
    <row r="61" spans="3:10">
      <c r="C61">
        <v>0.59000000000000008</v>
      </c>
      <c r="D61">
        <f t="shared" si="1"/>
        <v>8.5104438135206255</v>
      </c>
      <c r="E61" s="1">
        <f t="shared" si="2"/>
        <v>-0.70568999999999871</v>
      </c>
      <c r="F61">
        <f t="shared" si="3"/>
        <v>9.3397352771536344</v>
      </c>
      <c r="G61">
        <f t="shared" si="4"/>
        <v>-5.7819999999999956</v>
      </c>
      <c r="H61">
        <f t="shared" si="12"/>
        <v>3.2283714800117829</v>
      </c>
      <c r="I61">
        <f t="shared" si="13"/>
        <v>0.26735448563695274</v>
      </c>
      <c r="J61">
        <f t="shared" si="14"/>
        <v>7.9876311838989329</v>
      </c>
    </row>
    <row r="62" spans="3:10">
      <c r="C62">
        <v>0.60000000000000009</v>
      </c>
      <c r="D62">
        <f t="shared" si="1"/>
        <v>8.6038411662921614</v>
      </c>
      <c r="E62" s="1">
        <f t="shared" si="2"/>
        <v>-0.76399999999999868</v>
      </c>
      <c r="F62">
        <f t="shared" si="3"/>
        <v>9.3397352771536344</v>
      </c>
      <c r="G62">
        <f t="shared" si="4"/>
        <v>-5.8799999999999955</v>
      </c>
      <c r="H62">
        <f t="shared" si="12"/>
        <v>3.2016360314480874</v>
      </c>
      <c r="I62">
        <f t="shared" si="13"/>
        <v>0.26625437279663111</v>
      </c>
      <c r="J62">
        <f t="shared" si="14"/>
        <v>7.954626390235493</v>
      </c>
    </row>
    <row r="63" spans="3:10">
      <c r="C63">
        <v>0.6100000000000001</v>
      </c>
      <c r="D63">
        <f t="shared" si="1"/>
        <v>8.6972385190636974</v>
      </c>
      <c r="E63" s="1">
        <f t="shared" si="2"/>
        <v>-0.82328999999999863</v>
      </c>
      <c r="F63">
        <f t="shared" si="3"/>
        <v>9.3397352771536344</v>
      </c>
      <c r="G63">
        <f t="shared" si="4"/>
        <v>-5.9779999999999953</v>
      </c>
      <c r="H63">
        <f t="shared" si="12"/>
        <v>3.1750105941684241</v>
      </c>
      <c r="I63">
        <f t="shared" si="13"/>
        <v>0.26515421300784975</v>
      </c>
      <c r="J63">
        <f t="shared" si="14"/>
        <v>7.9216201762254741</v>
      </c>
    </row>
    <row r="64" spans="3:10">
      <c r="C64">
        <v>0.62000000000000011</v>
      </c>
      <c r="D64">
        <f t="shared" si="1"/>
        <v>8.7906358718352333</v>
      </c>
      <c r="E64" s="1">
        <f t="shared" si="2"/>
        <v>-0.88355999999999857</v>
      </c>
      <c r="F64">
        <f t="shared" si="3"/>
        <v>9.3397352771536344</v>
      </c>
      <c r="G64">
        <f t="shared" si="4"/>
        <v>-6.0759999999999952</v>
      </c>
      <c r="H64">
        <f t="shared" si="12"/>
        <v>3.1484951728676394</v>
      </c>
      <c r="I64">
        <f t="shared" si="13"/>
        <v>0.26405400587418248</v>
      </c>
      <c r="J64">
        <f t="shared" si="14"/>
        <v>7.8886125298243108</v>
      </c>
    </row>
    <row r="65" spans="3:10">
      <c r="C65">
        <v>0.63000000000000012</v>
      </c>
      <c r="D65">
        <f t="shared" si="1"/>
        <v>8.8840332246067693</v>
      </c>
      <c r="E65" s="1">
        <f t="shared" si="2"/>
        <v>-0.94480999999999848</v>
      </c>
      <c r="F65">
        <f t="shared" si="3"/>
        <v>9.3397352771536344</v>
      </c>
      <c r="G65">
        <f t="shared" si="4"/>
        <v>-6.173999999999995</v>
      </c>
      <c r="H65">
        <f t="shared" si="12"/>
        <v>3.122089772280221</v>
      </c>
      <c r="I65">
        <f t="shared" si="13"/>
        <v>0.2629537509941437</v>
      </c>
      <c r="J65">
        <f t="shared" si="14"/>
        <v>7.8556034388330565</v>
      </c>
    </row>
    <row r="66" spans="3:10">
      <c r="C66">
        <v>0.64000000000000012</v>
      </c>
      <c r="D66">
        <f t="shared" si="1"/>
        <v>8.9774305773783052</v>
      </c>
      <c r="E66" s="1">
        <f t="shared" si="2"/>
        <v>-1.0070399999999986</v>
      </c>
      <c r="F66">
        <f t="shared" si="3"/>
        <v>9.3397352771536344</v>
      </c>
      <c r="G66">
        <f t="shared" si="4"/>
        <v>-6.2719999999999949</v>
      </c>
      <c r="H66">
        <f t="shared" si="12"/>
        <v>3.0957943971808066</v>
      </c>
      <c r="I66">
        <f t="shared" si="13"/>
        <v>0.26185344796110188</v>
      </c>
      <c r="J66">
        <f t="shared" si="14"/>
        <v>7.8225928908957245</v>
      </c>
    </row>
    <row r="67" spans="3:10">
      <c r="C67">
        <v>0.65000000000000013</v>
      </c>
      <c r="D67">
        <f t="shared" si="1"/>
        <v>9.0708279301498411</v>
      </c>
      <c r="E67" s="1">
        <f t="shared" si="2"/>
        <v>-1.0702499999999986</v>
      </c>
      <c r="F67">
        <f t="shared" si="3"/>
        <v>9.3397352771536344</v>
      </c>
      <c r="G67">
        <f t="shared" si="4"/>
        <v>-6.3699999999999948</v>
      </c>
      <c r="H67">
        <f t="shared" si="12"/>
        <v>3.0696090523846964</v>
      </c>
      <c r="I67">
        <f t="shared" si="13"/>
        <v>0.26075309636319083</v>
      </c>
      <c r="J67">
        <f t="shared" si="14"/>
        <v>7.7895808734965843</v>
      </c>
    </row>
    <row r="68" spans="3:10">
      <c r="C68">
        <v>0.66000000000000014</v>
      </c>
      <c r="D68">
        <f t="shared" ref="D68:D102" si="17">D67+F67*$B$11</f>
        <v>9.1642252829213771</v>
      </c>
      <c r="E68" s="1">
        <f t="shared" ref="E68:E102" si="18">E67+G67*$B$11-0.5*$B$7*($B$11)^2</f>
        <v>-1.1344399999999986</v>
      </c>
      <c r="F68">
        <f t="shared" ref="F68:F102" si="19">F67</f>
        <v>9.3397352771536344</v>
      </c>
      <c r="G68">
        <f t="shared" ref="G68:G102" si="20">G67-$B$7*$B$11</f>
        <v>-6.4679999999999946</v>
      </c>
      <c r="H68">
        <f t="shared" si="12"/>
        <v>3.0435337427483775</v>
      </c>
      <c r="I68">
        <f t="shared" si="13"/>
        <v>0.25965269578321948</v>
      </c>
      <c r="J68">
        <f t="shared" si="14"/>
        <v>7.7565673739573784</v>
      </c>
    </row>
    <row r="69" spans="3:10">
      <c r="C69">
        <v>0.67000000000000015</v>
      </c>
      <c r="D69">
        <f t="shared" si="17"/>
        <v>9.257622635692913</v>
      </c>
      <c r="E69" s="1">
        <f t="shared" si="18"/>
        <v>-1.1996099999999985</v>
      </c>
      <c r="F69">
        <f t="shared" si="19"/>
        <v>9.3397352771536344</v>
      </c>
      <c r="G69">
        <f t="shared" si="20"/>
        <v>-6.5659999999999945</v>
      </c>
      <c r="H69">
        <f t="shared" si="12"/>
        <v>3.0175684731700554</v>
      </c>
      <c r="I69">
        <f t="shared" si="13"/>
        <v>0.25855224579857933</v>
      </c>
      <c r="J69">
        <f t="shared" si="14"/>
        <v>7.7235523794344916</v>
      </c>
    </row>
    <row r="70" spans="3:10">
      <c r="C70">
        <v>0.68000000000000016</v>
      </c>
      <c r="D70">
        <f t="shared" si="17"/>
        <v>9.3510199884644489</v>
      </c>
      <c r="E70" s="1">
        <f t="shared" si="18"/>
        <v>-1.2657599999999984</v>
      </c>
      <c r="F70">
        <f t="shared" si="19"/>
        <v>9.3397352771536344</v>
      </c>
      <c r="G70">
        <f t="shared" si="20"/>
        <v>-6.6639999999999944</v>
      </c>
      <c r="H70">
        <f t="shared" si="12"/>
        <v>2.9917132485901976</v>
      </c>
      <c r="I70">
        <f t="shared" si="13"/>
        <v>0.25745174598114973</v>
      </c>
      <c r="J70">
        <f t="shared" si="14"/>
        <v>7.6905358769160612</v>
      </c>
    </row>
    <row r="71" spans="3:10">
      <c r="C71">
        <v>0.69000000000000017</v>
      </c>
      <c r="D71">
        <f t="shared" si="17"/>
        <v>9.4444173412359849</v>
      </c>
      <c r="E71" s="1">
        <f t="shared" si="18"/>
        <v>-1.3328899999999986</v>
      </c>
      <c r="F71">
        <f t="shared" si="19"/>
        <v>9.3397352771536344</v>
      </c>
      <c r="G71">
        <f t="shared" si="20"/>
        <v>-6.7619999999999942</v>
      </c>
      <c r="H71">
        <f t="shared" si="12"/>
        <v>2.9659680739920828</v>
      </c>
      <c r="I71">
        <f t="shared" si="13"/>
        <v>0.25635119589720207</v>
      </c>
      <c r="J71">
        <f t="shared" si="14"/>
        <v>7.6575178532190105</v>
      </c>
    </row>
    <row r="72" spans="3:10">
      <c r="C72">
        <v>0.70000000000000018</v>
      </c>
      <c r="D72">
        <f t="shared" si="17"/>
        <v>9.5378146940075208</v>
      </c>
      <c r="E72" s="1">
        <f t="shared" si="18"/>
        <v>-1.4009999999999987</v>
      </c>
      <c r="F72">
        <f t="shared" si="19"/>
        <v>9.3397352771536344</v>
      </c>
      <c r="G72">
        <f t="shared" si="20"/>
        <v>-6.8599999999999941</v>
      </c>
      <c r="H72">
        <f t="shared" si="12"/>
        <v>2.9403329544023626</v>
      </c>
      <c r="I72">
        <f t="shared" si="13"/>
        <v>0.25525059510730036</v>
      </c>
      <c r="J72">
        <f t="shared" si="14"/>
        <v>7.6244982949860267</v>
      </c>
    </row>
    <row r="73" spans="3:10">
      <c r="C73">
        <v>0.71000000000000019</v>
      </c>
      <c r="D73">
        <f t="shared" si="17"/>
        <v>9.6312120467790567</v>
      </c>
      <c r="E73" s="1">
        <f t="shared" si="18"/>
        <v>-1.4700899999999988</v>
      </c>
      <c r="F73">
        <f t="shared" si="19"/>
        <v>9.3397352771536344</v>
      </c>
      <c r="G73">
        <f t="shared" si="20"/>
        <v>-6.957999999999994</v>
      </c>
      <c r="H73">
        <f t="shared" si="12"/>
        <v>2.9148078948916325</v>
      </c>
      <c r="I73">
        <f t="shared" si="13"/>
        <v>0.25414994316620093</v>
      </c>
      <c r="J73">
        <f t="shared" si="14"/>
        <v>7.5914771886824708</v>
      </c>
    </row>
    <row r="74" spans="3:10">
      <c r="C74">
        <v>0.7200000000000002</v>
      </c>
      <c r="D74">
        <f t="shared" si="17"/>
        <v>9.7246093995505927</v>
      </c>
      <c r="E74" s="1">
        <f t="shared" si="18"/>
        <v>-1.5401599999999989</v>
      </c>
      <c r="F74">
        <f t="shared" si="19"/>
        <v>9.3397352771536344</v>
      </c>
      <c r="G74">
        <f t="shared" si="20"/>
        <v>-7.0559999999999938</v>
      </c>
      <c r="H74">
        <f t="shared" ref="H74:H102" si="21">H73-I73*$B$6</f>
        <v>2.8893929005750123</v>
      </c>
      <c r="I74">
        <f t="shared" ref="I74:I102" si="22">$B$10*J73/$B$9</f>
        <v>0.25304923962274906</v>
      </c>
      <c r="J74">
        <f t="shared" ref="J74:J102" si="23">SQRT(2*$B$7*H73)</f>
        <v>7.558454520593215</v>
      </c>
    </row>
    <row r="75" spans="3:10">
      <c r="C75">
        <v>0.73000000000000009</v>
      </c>
      <c r="D75">
        <f t="shared" si="17"/>
        <v>9.8180067523221286</v>
      </c>
      <c r="E75" s="1">
        <f t="shared" si="18"/>
        <v>-1.6112099999999989</v>
      </c>
      <c r="F75">
        <f t="shared" si="19"/>
        <v>9.3397352771536344</v>
      </c>
      <c r="G75">
        <f t="shared" si="20"/>
        <v>-7.1539999999999937</v>
      </c>
      <c r="H75">
        <f t="shared" si="21"/>
        <v>2.8640879766127374</v>
      </c>
      <c r="I75">
        <f t="shared" si="22"/>
        <v>0.25194848401977382</v>
      </c>
      <c r="J75">
        <f t="shared" si="23"/>
        <v>7.5254302768194092</v>
      </c>
    </row>
    <row r="76" spans="3:10">
      <c r="C76">
        <v>0.7400000000000001</v>
      </c>
      <c r="D76">
        <f t="shared" si="17"/>
        <v>9.9114041050936645</v>
      </c>
      <c r="E76" s="1">
        <f t="shared" si="18"/>
        <v>-1.683239999999999</v>
      </c>
      <c r="F76">
        <f t="shared" si="19"/>
        <v>9.3397352771536344</v>
      </c>
      <c r="G76">
        <f t="shared" si="20"/>
        <v>-7.2519999999999936</v>
      </c>
      <c r="H76">
        <f t="shared" si="21"/>
        <v>2.8388931282107599</v>
      </c>
      <c r="I76">
        <f t="shared" si="22"/>
        <v>0.25084767589398033</v>
      </c>
      <c r="J76">
        <f t="shared" si="23"/>
        <v>7.4924044432751797</v>
      </c>
    </row>
    <row r="77" spans="3:10">
      <c r="C77">
        <v>0.75000000000000011</v>
      </c>
      <c r="D77">
        <f t="shared" si="17"/>
        <v>10.0048014578652</v>
      </c>
      <c r="E77" s="1">
        <f t="shared" si="18"/>
        <v>-1.756249999999999</v>
      </c>
      <c r="F77">
        <f t="shared" si="19"/>
        <v>9.3397352771536344</v>
      </c>
      <c r="G77">
        <f t="shared" si="20"/>
        <v>-7.3499999999999934</v>
      </c>
      <c r="H77">
        <f t="shared" si="21"/>
        <v>2.813808360621362</v>
      </c>
      <c r="I77">
        <f t="shared" si="22"/>
        <v>0.24974681477583935</v>
      </c>
      <c r="J77">
        <f t="shared" si="23"/>
        <v>7.4593770056842486</v>
      </c>
    </row>
    <row r="78" spans="3:10">
      <c r="C78">
        <v>0.76000000000000012</v>
      </c>
      <c r="D78">
        <f t="shared" si="17"/>
        <v>10.098198810636736</v>
      </c>
      <c r="E78" s="1">
        <f t="shared" si="18"/>
        <v>-1.830239999999999</v>
      </c>
      <c r="F78">
        <f t="shared" si="19"/>
        <v>9.3397352771536344</v>
      </c>
      <c r="G78">
        <f t="shared" si="20"/>
        <v>-7.4479999999999933</v>
      </c>
      <c r="H78">
        <f t="shared" si="21"/>
        <v>2.788833679143778</v>
      </c>
      <c r="I78">
        <f t="shared" si="22"/>
        <v>0.24864590018947497</v>
      </c>
      <c r="J78">
        <f t="shared" si="23"/>
        <v>7.4263479495764742</v>
      </c>
    </row>
    <row r="79" spans="3:10">
      <c r="C79">
        <v>0.77000000000000013</v>
      </c>
      <c r="D79">
        <f t="shared" si="17"/>
        <v>10.191596163408272</v>
      </c>
      <c r="E79" s="1">
        <f t="shared" si="18"/>
        <v>-1.905209999999999</v>
      </c>
      <c r="F79">
        <f t="shared" si="19"/>
        <v>9.3397352771536344</v>
      </c>
      <c r="G79">
        <f t="shared" si="20"/>
        <v>-7.5459999999999932</v>
      </c>
      <c r="H79">
        <f t="shared" si="21"/>
        <v>2.7639690891248305</v>
      </c>
      <c r="I79">
        <f t="shared" si="22"/>
        <v>0.24754493165254918</v>
      </c>
      <c r="J79">
        <f t="shared" si="23"/>
        <v>7.3933172602843209</v>
      </c>
    </row>
    <row r="80" spans="3:10">
      <c r="C80">
        <v>0.78000000000000014</v>
      </c>
      <c r="D80">
        <f t="shared" si="17"/>
        <v>10.284993516179808</v>
      </c>
      <c r="E80" s="1">
        <f t="shared" si="18"/>
        <v>-1.9811599999999989</v>
      </c>
      <c r="F80">
        <f t="shared" si="19"/>
        <v>9.3397352771536344</v>
      </c>
      <c r="G80">
        <f t="shared" si="20"/>
        <v>-7.643999999999993</v>
      </c>
      <c r="H80">
        <f t="shared" si="21"/>
        <v>2.7392145959595755</v>
      </c>
      <c r="I80">
        <f t="shared" si="22"/>
        <v>0.24644390867614405</v>
      </c>
      <c r="J80">
        <f t="shared" si="23"/>
        <v>7.3602849229392389</v>
      </c>
    </row>
    <row r="81" spans="3:10">
      <c r="C81">
        <v>0.79</v>
      </c>
      <c r="D81">
        <f t="shared" si="17"/>
        <v>10.378390868951344</v>
      </c>
      <c r="E81" s="1">
        <f t="shared" si="18"/>
        <v>-2.0580899999999991</v>
      </c>
      <c r="F81">
        <f t="shared" si="19"/>
        <v>9.3397352771536344</v>
      </c>
      <c r="G81">
        <f t="shared" si="20"/>
        <v>-7.7419999999999929</v>
      </c>
      <c r="H81">
        <f t="shared" si="21"/>
        <v>2.7145702050919609</v>
      </c>
      <c r="I81">
        <f t="shared" si="22"/>
        <v>0.24534283076464133</v>
      </c>
      <c r="J81">
        <f t="shared" si="23"/>
        <v>7.3272509224679672</v>
      </c>
    </row>
    <row r="82" spans="3:10">
      <c r="C82">
        <v>0.8</v>
      </c>
      <c r="D82">
        <f t="shared" si="17"/>
        <v>10.47178822172288</v>
      </c>
      <c r="E82" s="1">
        <f t="shared" si="18"/>
        <v>-2.1359999999999992</v>
      </c>
      <c r="F82">
        <f t="shared" si="19"/>
        <v>9.3397352771536344</v>
      </c>
      <c r="G82">
        <f t="shared" si="20"/>
        <v>-7.8399999999999928</v>
      </c>
      <c r="H82">
        <f t="shared" si="21"/>
        <v>2.6900359220154968</v>
      </c>
      <c r="I82">
        <f t="shared" si="22"/>
        <v>0.2442416974155989</v>
      </c>
      <c r="J82">
        <f t="shared" si="23"/>
        <v>7.2942152435887468</v>
      </c>
    </row>
    <row r="83" spans="3:10">
      <c r="C83">
        <v>0.81</v>
      </c>
      <c r="D83">
        <f t="shared" si="17"/>
        <v>10.565185574494416</v>
      </c>
      <c r="E83" s="1">
        <f t="shared" si="18"/>
        <v>-2.2148899999999991</v>
      </c>
      <c r="F83">
        <f t="shared" si="19"/>
        <v>9.3397352771536344</v>
      </c>
      <c r="G83">
        <f t="shared" si="20"/>
        <v>-7.9379999999999926</v>
      </c>
      <c r="H83">
        <f t="shared" si="21"/>
        <v>2.6656117522739371</v>
      </c>
      <c r="I83">
        <f t="shared" si="22"/>
        <v>0.24314050811962493</v>
      </c>
      <c r="J83">
        <f t="shared" si="23"/>
        <v>7.2611778708074457</v>
      </c>
    </row>
    <row r="84" spans="3:10">
      <c r="C84">
        <v>0.82000000000000006</v>
      </c>
      <c r="D84">
        <f t="shared" si="17"/>
        <v>10.658582927265952</v>
      </c>
      <c r="E84" s="1">
        <f t="shared" si="18"/>
        <v>-2.2947599999999992</v>
      </c>
      <c r="F84">
        <f t="shared" si="19"/>
        <v>9.3397352771536344</v>
      </c>
      <c r="G84">
        <f t="shared" si="20"/>
        <v>-8.0359999999999925</v>
      </c>
      <c r="H84">
        <f t="shared" si="21"/>
        <v>2.6412977014619745</v>
      </c>
      <c r="I84">
        <f t="shared" si="22"/>
        <v>0.2420392623602482</v>
      </c>
      <c r="J84">
        <f t="shared" si="23"/>
        <v>7.2281387884135961</v>
      </c>
    </row>
    <row r="85" spans="3:10">
      <c r="C85">
        <v>0.83000000000000007</v>
      </c>
      <c r="D85">
        <f t="shared" si="17"/>
        <v>10.751980280037488</v>
      </c>
      <c r="E85" s="1">
        <f t="shared" si="18"/>
        <v>-2.3756099999999991</v>
      </c>
      <c r="F85">
        <f t="shared" si="19"/>
        <v>9.3397352771536344</v>
      </c>
      <c r="G85">
        <f t="shared" si="20"/>
        <v>-8.1339999999999932</v>
      </c>
      <c r="H85">
        <f t="shared" si="21"/>
        <v>2.6170937752259498</v>
      </c>
      <c r="I85">
        <f t="shared" si="22"/>
        <v>0.24093795961378653</v>
      </c>
      <c r="J85">
        <f t="shared" si="23"/>
        <v>7.1950979804763397</v>
      </c>
    </row>
    <row r="86" spans="3:10">
      <c r="C86">
        <v>0.84000000000000008</v>
      </c>
      <c r="D86">
        <f t="shared" si="17"/>
        <v>10.845377632809024</v>
      </c>
      <c r="E86" s="1">
        <f t="shared" si="18"/>
        <v>-2.4574399999999992</v>
      </c>
      <c r="F86">
        <f t="shared" si="19"/>
        <v>9.3397352771536344</v>
      </c>
      <c r="G86">
        <f t="shared" si="20"/>
        <v>-8.231999999999994</v>
      </c>
      <c r="H86">
        <f t="shared" si="21"/>
        <v>2.592999979264571</v>
      </c>
      <c r="I86">
        <f t="shared" si="22"/>
        <v>0.23983659934921134</v>
      </c>
      <c r="J86">
        <f t="shared" si="23"/>
        <v>7.1620554308402706</v>
      </c>
    </row>
    <row r="87" spans="3:10">
      <c r="C87">
        <v>0.85000000000000009</v>
      </c>
      <c r="D87">
        <f t="shared" si="17"/>
        <v>10.93877498558056</v>
      </c>
      <c r="E87" s="1">
        <f t="shared" si="18"/>
        <v>-2.540249999999999</v>
      </c>
      <c r="F87">
        <f t="shared" si="19"/>
        <v>9.3397352771536344</v>
      </c>
      <c r="G87">
        <f t="shared" si="20"/>
        <v>-8.3299999999999947</v>
      </c>
      <c r="H87">
        <f t="shared" si="21"/>
        <v>2.5690163193296498</v>
      </c>
      <c r="I87">
        <f t="shared" si="22"/>
        <v>0.23873518102800903</v>
      </c>
      <c r="J87">
        <f t="shared" si="23"/>
        <v>7.1290111231211863</v>
      </c>
    </row>
    <row r="88" spans="3:10">
      <c r="C88">
        <v>0.8600000000000001</v>
      </c>
      <c r="D88">
        <f t="shared" si="17"/>
        <v>11.032172338352096</v>
      </c>
      <c r="E88" s="1">
        <f t="shared" si="18"/>
        <v>-2.624039999999999</v>
      </c>
      <c r="F88">
        <f t="shared" si="19"/>
        <v>9.3397352771536344</v>
      </c>
      <c r="G88">
        <f t="shared" si="20"/>
        <v>-8.4279999999999955</v>
      </c>
      <c r="H88">
        <f t="shared" si="21"/>
        <v>2.5451428012268491</v>
      </c>
      <c r="I88">
        <f t="shared" si="22"/>
        <v>0.23763370410403958</v>
      </c>
      <c r="J88">
        <f t="shared" si="23"/>
        <v>7.0959650407017323</v>
      </c>
    </row>
    <row r="89" spans="3:10">
      <c r="C89">
        <v>0.87000000000000011</v>
      </c>
      <c r="D89">
        <f t="shared" si="17"/>
        <v>11.125569691123632</v>
      </c>
      <c r="E89" s="1">
        <f t="shared" si="18"/>
        <v>-2.7088099999999993</v>
      </c>
      <c r="F89">
        <f t="shared" si="19"/>
        <v>9.3397352771536344</v>
      </c>
      <c r="G89">
        <f t="shared" si="20"/>
        <v>-8.5259999999999962</v>
      </c>
      <c r="H89">
        <f t="shared" si="21"/>
        <v>2.5213794308164452</v>
      </c>
      <c r="I89">
        <f t="shared" si="22"/>
        <v>0.23653216802339108</v>
      </c>
      <c r="J89">
        <f t="shared" si="23"/>
        <v>7.0629171667269501</v>
      </c>
    </row>
    <row r="90" spans="3:10">
      <c r="C90">
        <v>0.88000000000000012</v>
      </c>
      <c r="D90">
        <f t="shared" si="17"/>
        <v>11.218967043895168</v>
      </c>
      <c r="E90" s="1">
        <f t="shared" si="18"/>
        <v>-2.7945599999999993</v>
      </c>
      <c r="F90">
        <f t="shared" si="19"/>
        <v>9.3397352771536344</v>
      </c>
      <c r="G90">
        <f t="shared" si="20"/>
        <v>-8.623999999999997</v>
      </c>
      <c r="H90">
        <f t="shared" si="21"/>
        <v>2.4977262140141061</v>
      </c>
      <c r="I90">
        <f t="shared" si="22"/>
        <v>0.23543057222423169</v>
      </c>
      <c r="J90">
        <f t="shared" si="23"/>
        <v>7.0298674840997055</v>
      </c>
    </row>
    <row r="91" spans="3:10">
      <c r="C91">
        <v>0.89000000000000012</v>
      </c>
      <c r="D91">
        <f t="shared" si="17"/>
        <v>11.312364396666704</v>
      </c>
      <c r="E91" s="1">
        <f t="shared" si="18"/>
        <v>-2.8812899999999995</v>
      </c>
      <c r="F91">
        <f t="shared" si="19"/>
        <v>9.3397352771536344</v>
      </c>
      <c r="G91">
        <f t="shared" si="20"/>
        <v>-8.7219999999999978</v>
      </c>
      <c r="H91">
        <f t="shared" si="21"/>
        <v>2.4741831567916828</v>
      </c>
      <c r="I91">
        <f t="shared" si="22"/>
        <v>0.23432891613665685</v>
      </c>
      <c r="J91">
        <f t="shared" si="23"/>
        <v>6.9968159754760224</v>
      </c>
    </row>
    <row r="92" spans="3:10">
      <c r="C92">
        <v>0.90000000000000013</v>
      </c>
      <c r="D92">
        <f t="shared" si="17"/>
        <v>11.40576174943824</v>
      </c>
      <c r="E92" s="1">
        <f t="shared" si="18"/>
        <v>-2.9689999999999994</v>
      </c>
      <c r="F92">
        <f t="shared" si="19"/>
        <v>9.3397352771536344</v>
      </c>
      <c r="G92">
        <f t="shared" si="20"/>
        <v>-8.8199999999999985</v>
      </c>
      <c r="H92">
        <f t="shared" si="21"/>
        <v>2.4507502651780171</v>
      </c>
      <c r="I92">
        <f t="shared" si="22"/>
        <v>0.2332271991825341</v>
      </c>
      <c r="J92">
        <f t="shared" si="23"/>
        <v>6.9637626232602869</v>
      </c>
    </row>
    <row r="93" spans="3:10">
      <c r="C93">
        <v>0.91000000000000014</v>
      </c>
      <c r="D93">
        <f t="shared" si="17"/>
        <v>11.499159102209775</v>
      </c>
      <c r="E93" s="1">
        <f t="shared" si="18"/>
        <v>-3.0576899999999996</v>
      </c>
      <c r="F93">
        <f t="shared" si="19"/>
        <v>9.3397352771536344</v>
      </c>
      <c r="G93">
        <f t="shared" si="20"/>
        <v>-8.9179999999999993</v>
      </c>
      <c r="H93">
        <f t="shared" si="21"/>
        <v>2.4274275452597638</v>
      </c>
      <c r="I93">
        <f t="shared" si="22"/>
        <v>0.23212542077534293</v>
      </c>
      <c r="J93">
        <f t="shared" si="23"/>
        <v>6.9307074096003456</v>
      </c>
    </row>
    <row r="94" spans="3:10">
      <c r="C94">
        <v>0.92000000000000015</v>
      </c>
      <c r="D94">
        <f t="shared" si="17"/>
        <v>11.592556454981311</v>
      </c>
      <c r="E94" s="1">
        <f t="shared" si="18"/>
        <v>-3.1473599999999995</v>
      </c>
      <c r="F94">
        <f t="shared" si="19"/>
        <v>9.3397352771536344</v>
      </c>
      <c r="G94">
        <f t="shared" si="20"/>
        <v>-9.016</v>
      </c>
      <c r="H94">
        <f t="shared" si="21"/>
        <v>2.4042150031822294</v>
      </c>
      <c r="I94">
        <f t="shared" si="22"/>
        <v>0.23102358032001155</v>
      </c>
      <c r="J94">
        <f t="shared" si="23"/>
        <v>6.8976503163824834</v>
      </c>
    </row>
    <row r="95" spans="3:10">
      <c r="C95">
        <v>0.93000000000000016</v>
      </c>
      <c r="D95">
        <f t="shared" si="17"/>
        <v>11.685953807752847</v>
      </c>
      <c r="E95" s="1">
        <f t="shared" si="18"/>
        <v>-3.2380099999999996</v>
      </c>
      <c r="F95">
        <f t="shared" si="19"/>
        <v>9.3397352771536344</v>
      </c>
      <c r="G95">
        <f t="shared" si="20"/>
        <v>-9.1140000000000008</v>
      </c>
      <c r="H95">
        <f t="shared" si="21"/>
        <v>2.3811126451502282</v>
      </c>
      <c r="I95">
        <f t="shared" si="22"/>
        <v>0.22992167721274948</v>
      </c>
      <c r="J95">
        <f t="shared" si="23"/>
        <v>6.8645913252262654</v>
      </c>
    </row>
    <row r="96" spans="3:10">
      <c r="C96">
        <v>0.94000000000000017</v>
      </c>
      <c r="D96">
        <f t="shared" si="17"/>
        <v>11.779351160524383</v>
      </c>
      <c r="E96" s="1">
        <f t="shared" si="18"/>
        <v>-3.3296399999999999</v>
      </c>
      <c r="F96">
        <f t="shared" si="19"/>
        <v>9.3397352771536344</v>
      </c>
      <c r="G96">
        <f t="shared" si="20"/>
        <v>-9.2120000000000015</v>
      </c>
      <c r="H96">
        <f t="shared" si="21"/>
        <v>2.3581204774289533</v>
      </c>
      <c r="I96">
        <f t="shared" si="22"/>
        <v>0.22881971084087552</v>
      </c>
      <c r="J96">
        <f t="shared" si="23"/>
        <v>6.8315304174792697</v>
      </c>
    </row>
    <row r="97" spans="3:10">
      <c r="C97">
        <v>0.95000000000000018</v>
      </c>
      <c r="D97">
        <f t="shared" si="17"/>
        <v>11.872748513295919</v>
      </c>
      <c r="E97" s="1">
        <f t="shared" si="18"/>
        <v>-3.42225</v>
      </c>
      <c r="F97">
        <f t="shared" si="19"/>
        <v>9.3397352771536344</v>
      </c>
      <c r="G97">
        <f t="shared" si="20"/>
        <v>-9.3100000000000023</v>
      </c>
      <c r="H97">
        <f t="shared" si="21"/>
        <v>2.3352385063448655</v>
      </c>
      <c r="I97">
        <f t="shared" si="22"/>
        <v>0.22771768058264233</v>
      </c>
      <c r="J97">
        <f t="shared" si="23"/>
        <v>6.7984675742116689</v>
      </c>
    </row>
    <row r="98" spans="3:10">
      <c r="C98">
        <v>0.96000000000000019</v>
      </c>
      <c r="D98">
        <f t="shared" si="17"/>
        <v>11.966145866067455</v>
      </c>
      <c r="E98" s="1">
        <f t="shared" si="18"/>
        <v>-3.5158400000000003</v>
      </c>
      <c r="F98">
        <f t="shared" si="19"/>
        <v>9.3397352771536344</v>
      </c>
      <c r="G98">
        <f t="shared" si="20"/>
        <v>-9.408000000000003</v>
      </c>
      <c r="H98">
        <f t="shared" si="21"/>
        <v>2.3124667382866013</v>
      </c>
      <c r="I98">
        <f t="shared" si="22"/>
        <v>0.22661558580705565</v>
      </c>
      <c r="J98">
        <f t="shared" si="23"/>
        <v>6.7654027762106939</v>
      </c>
    </row>
    <row r="99" spans="3:10">
      <c r="C99">
        <v>0.9700000000000002</v>
      </c>
      <c r="D99">
        <f t="shared" si="17"/>
        <v>12.059543218838991</v>
      </c>
      <c r="E99" s="1">
        <f t="shared" si="18"/>
        <v>-3.6104100000000003</v>
      </c>
      <c r="F99">
        <f t="shared" si="19"/>
        <v>9.3397352771536344</v>
      </c>
      <c r="G99">
        <f t="shared" si="20"/>
        <v>-9.5060000000000038</v>
      </c>
      <c r="H99">
        <f t="shared" si="21"/>
        <v>2.2898051797058958</v>
      </c>
      <c r="I99">
        <f t="shared" si="22"/>
        <v>0.2255134258736898</v>
      </c>
      <c r="J99">
        <f t="shared" si="23"/>
        <v>6.7323360039749494</v>
      </c>
    </row>
    <row r="100" spans="3:10">
      <c r="C100">
        <v>0.9800000000000002</v>
      </c>
      <c r="D100">
        <f t="shared" si="17"/>
        <v>12.152940571610527</v>
      </c>
      <c r="E100" s="1">
        <f t="shared" si="18"/>
        <v>-3.7059600000000006</v>
      </c>
      <c r="F100">
        <f t="shared" si="19"/>
        <v>9.3397352771536344</v>
      </c>
      <c r="G100">
        <f t="shared" si="20"/>
        <v>-9.6040000000000045</v>
      </c>
      <c r="H100">
        <f t="shared" si="21"/>
        <v>2.2672538371185267</v>
      </c>
      <c r="I100">
        <f t="shared" si="22"/>
        <v>0.22441120013249835</v>
      </c>
      <c r="J100">
        <f t="shared" si="23"/>
        <v>6.6992672377085807</v>
      </c>
    </row>
    <row r="101" spans="3:10">
      <c r="C101">
        <v>0.99000000000000021</v>
      </c>
      <c r="D101">
        <f t="shared" si="17"/>
        <v>12.246337924382063</v>
      </c>
      <c r="E101" s="1">
        <f t="shared" si="18"/>
        <v>-3.8024900000000006</v>
      </c>
      <c r="F101">
        <f t="shared" si="19"/>
        <v>9.3397352771536344</v>
      </c>
      <c r="G101">
        <f t="shared" si="20"/>
        <v>-9.7020000000000053</v>
      </c>
      <c r="H101">
        <f t="shared" si="21"/>
        <v>2.244812717105277</v>
      </c>
      <c r="I101">
        <f t="shared" si="22"/>
        <v>0.22330890792361938</v>
      </c>
      <c r="J101">
        <f t="shared" si="23"/>
        <v>6.666196457315305</v>
      </c>
    </row>
    <row r="102" spans="3:10">
      <c r="C102">
        <v>1.0000000000000002</v>
      </c>
      <c r="D102">
        <f t="shared" si="17"/>
        <v>12.339735277153599</v>
      </c>
      <c r="E102" s="1">
        <f t="shared" si="18"/>
        <v>-3.9000000000000008</v>
      </c>
      <c r="F102">
        <f t="shared" si="19"/>
        <v>9.3397352771536344</v>
      </c>
      <c r="G102">
        <f t="shared" si="20"/>
        <v>-9.800000000000006</v>
      </c>
      <c r="H102">
        <f t="shared" si="21"/>
        <v>2.2224818263129151</v>
      </c>
      <c r="I102">
        <f t="shared" si="22"/>
        <v>0.22220654857717684</v>
      </c>
      <c r="J102">
        <f t="shared" si="23"/>
        <v>6.6331236423922801</v>
      </c>
    </row>
    <row r="103" spans="3:10">
      <c r="H103">
        <f t="shared" ref="H103:H166" si="24">H102-I102*$B$6</f>
        <v>2.2002611714551974</v>
      </c>
      <c r="I103">
        <f t="shared" ref="I103:I166" si="25">$B$10*J102/$B$9</f>
        <v>0.221104121413076</v>
      </c>
      <c r="J103">
        <f t="shared" ref="J103:J166" si="26">SQRT(2*$B$7*H102)</f>
        <v>6.6000487722238192</v>
      </c>
    </row>
    <row r="104" spans="3:10">
      <c r="H104">
        <f t="shared" si="24"/>
        <v>2.1781507593138896</v>
      </c>
      <c r="I104">
        <f t="shared" si="25"/>
        <v>0.22000162574079399</v>
      </c>
      <c r="J104">
        <f t="shared" si="26"/>
        <v>6.5669718257749423</v>
      </c>
    </row>
    <row r="105" spans="3:10">
      <c r="H105">
        <f t="shared" si="24"/>
        <v>2.1561505967398102</v>
      </c>
      <c r="I105">
        <f t="shared" si="25"/>
        <v>0.21889906085916477</v>
      </c>
      <c r="J105">
        <f t="shared" si="26"/>
        <v>6.5338927816847621</v>
      </c>
    </row>
    <row r="106" spans="3:10">
      <c r="H106">
        <f t="shared" si="24"/>
        <v>2.1342606906538939</v>
      </c>
      <c r="I106">
        <f t="shared" si="25"/>
        <v>0.21779642605615876</v>
      </c>
      <c r="J106">
        <f t="shared" si="26"/>
        <v>6.5008116182596991</v>
      </c>
    </row>
    <row r="107" spans="3:10">
      <c r="H107">
        <f t="shared" si="24"/>
        <v>2.1124810480482781</v>
      </c>
      <c r="I107">
        <f t="shared" si="25"/>
        <v>0.21669372060865666</v>
      </c>
      <c r="J107">
        <f t="shared" si="26"/>
        <v>6.4677283134665089</v>
      </c>
    </row>
    <row r="108" spans="3:10">
      <c r="H108">
        <f t="shared" si="24"/>
        <v>2.0908116759874122</v>
      </c>
      <c r="I108">
        <f t="shared" si="25"/>
        <v>0.21559094378221699</v>
      </c>
      <c r="J108">
        <f t="shared" si="26"/>
        <v>6.4346428449251363</v>
      </c>
    </row>
    <row r="109" spans="3:10">
      <c r="H109">
        <f t="shared" si="24"/>
        <v>2.0692525816091907</v>
      </c>
      <c r="I109">
        <f t="shared" si="25"/>
        <v>0.21448809483083789</v>
      </c>
      <c r="J109">
        <f t="shared" si="26"/>
        <v>6.4015551899013792</v>
      </c>
    </row>
    <row r="110" spans="3:10">
      <c r="H110">
        <f t="shared" si="24"/>
        <v>2.0478037721261071</v>
      </c>
      <c r="I110">
        <f t="shared" si="25"/>
        <v>0.21338517299671267</v>
      </c>
      <c r="J110">
        <f t="shared" si="26"/>
        <v>6.3684653252993488</v>
      </c>
    </row>
    <row r="111" spans="3:10">
      <c r="H111">
        <f t="shared" si="24"/>
        <v>2.0264652548264359</v>
      </c>
      <c r="I111">
        <f t="shared" si="25"/>
        <v>0.21228217750997833</v>
      </c>
      <c r="J111">
        <f t="shared" si="26"/>
        <v>6.3353732276537347</v>
      </c>
    </row>
    <row r="112" spans="3:10">
      <c r="H112">
        <f t="shared" si="24"/>
        <v>2.005237037075438</v>
      </c>
      <c r="I112">
        <f t="shared" si="25"/>
        <v>0.21117910758845784</v>
      </c>
      <c r="J112">
        <f t="shared" si="26"/>
        <v>6.3022788731218604</v>
      </c>
    </row>
    <row r="113" spans="8:10">
      <c r="H113">
        <f t="shared" si="24"/>
        <v>1.9841191263165923</v>
      </c>
      <c r="I113">
        <f t="shared" si="25"/>
        <v>0.21007596243739535</v>
      </c>
      <c r="J113">
        <f t="shared" si="26"/>
        <v>6.2691822374755217</v>
      </c>
    </row>
    <row r="114" spans="8:10">
      <c r="H114">
        <f t="shared" si="24"/>
        <v>1.9631115300728528</v>
      </c>
      <c r="I114">
        <f t="shared" si="25"/>
        <v>0.20897274124918408</v>
      </c>
      <c r="J114">
        <f t="shared" si="26"/>
        <v>6.2360832960926054</v>
      </c>
    </row>
    <row r="115" spans="8:10">
      <c r="H115">
        <f t="shared" si="24"/>
        <v>1.9422142559479343</v>
      </c>
      <c r="I115">
        <f t="shared" si="25"/>
        <v>0.20786944320308687</v>
      </c>
      <c r="J115">
        <f t="shared" si="26"/>
        <v>6.2029820239484748</v>
      </c>
    </row>
    <row r="116" spans="8:10">
      <c r="H116">
        <f t="shared" si="24"/>
        <v>1.9214273116276257</v>
      </c>
      <c r="I116">
        <f t="shared" si="25"/>
        <v>0.20676606746494919</v>
      </c>
      <c r="J116">
        <f t="shared" si="26"/>
        <v>6.1698783956071219</v>
      </c>
    </row>
    <row r="117" spans="8:10">
      <c r="H117">
        <f t="shared" si="24"/>
        <v>1.9007507048811307</v>
      </c>
      <c r="I117">
        <f t="shared" si="25"/>
        <v>0.20566261318690407</v>
      </c>
      <c r="J117">
        <f t="shared" si="26"/>
        <v>6.1367723852120726</v>
      </c>
    </row>
    <row r="118" spans="8:10">
      <c r="H118">
        <f t="shared" si="24"/>
        <v>1.8801844435624404</v>
      </c>
      <c r="I118">
        <f t="shared" si="25"/>
        <v>0.20455907950706909</v>
      </c>
      <c r="J118">
        <f t="shared" si="26"/>
        <v>6.1036639664770345</v>
      </c>
    </row>
    <row r="119" spans="8:10">
      <c r="H119">
        <f t="shared" si="24"/>
        <v>1.8597285356117335</v>
      </c>
      <c r="I119">
        <f t="shared" si="25"/>
        <v>0.20345546554923452</v>
      </c>
      <c r="J119">
        <f t="shared" si="26"/>
        <v>6.0705531126762935</v>
      </c>
    </row>
    <row r="120" spans="8:10">
      <c r="H120">
        <f t="shared" si="24"/>
        <v>1.8393829890568101</v>
      </c>
      <c r="I120">
        <f t="shared" si="25"/>
        <v>0.20235177042254313</v>
      </c>
      <c r="J120">
        <f t="shared" si="26"/>
        <v>6.0374397966348265</v>
      </c>
    </row>
    <row r="121" spans="8:10">
      <c r="H121">
        <f t="shared" si="24"/>
        <v>1.8191478120145557</v>
      </c>
      <c r="I121">
        <f t="shared" si="25"/>
        <v>0.20124799322116091</v>
      </c>
      <c r="J121">
        <f t="shared" si="26"/>
        <v>6.004323990718146</v>
      </c>
    </row>
    <row r="122" spans="8:10">
      <c r="H122">
        <f t="shared" si="24"/>
        <v>1.7990230126924396</v>
      </c>
      <c r="I122">
        <f t="shared" si="25"/>
        <v>0.20014413302393821</v>
      </c>
      <c r="J122">
        <f t="shared" si="26"/>
        <v>5.9712056668218434</v>
      </c>
    </row>
    <row r="123" spans="8:10">
      <c r="H123">
        <f t="shared" si="24"/>
        <v>1.7790085993900457</v>
      </c>
      <c r="I123">
        <f t="shared" si="25"/>
        <v>0.19904018889406147</v>
      </c>
      <c r="J123">
        <f t="shared" si="26"/>
        <v>5.9380847963608447</v>
      </c>
    </row>
    <row r="124" spans="8:10">
      <c r="H124">
        <f t="shared" si="24"/>
        <v>1.7591045805006396</v>
      </c>
      <c r="I124">
        <f t="shared" si="25"/>
        <v>0.19793615987869484</v>
      </c>
      <c r="J124">
        <f t="shared" si="26"/>
        <v>5.9049613502583487</v>
      </c>
    </row>
    <row r="125" spans="8:10">
      <c r="H125">
        <f t="shared" si="24"/>
        <v>1.73931096451277</v>
      </c>
      <c r="I125">
        <f t="shared" si="25"/>
        <v>0.19683204500861162</v>
      </c>
      <c r="J125">
        <f t="shared" si="26"/>
        <v>5.8718352989344424</v>
      </c>
    </row>
    <row r="126" spans="8:10">
      <c r="H126">
        <f t="shared" si="24"/>
        <v>1.7196277600119088</v>
      </c>
      <c r="I126">
        <f t="shared" si="25"/>
        <v>0.19572784329781476</v>
      </c>
      <c r="J126">
        <f t="shared" si="26"/>
        <v>5.8387066122943958</v>
      </c>
    </row>
    <row r="127" spans="8:10">
      <c r="H127">
        <f t="shared" si="24"/>
        <v>1.7000549756821273</v>
      </c>
      <c r="I127">
        <f t="shared" si="25"/>
        <v>0.19462355374314655</v>
      </c>
      <c r="J127">
        <f t="shared" si="26"/>
        <v>5.805575259716595</v>
      </c>
    </row>
    <row r="128" spans="8:10">
      <c r="H128">
        <f t="shared" si="24"/>
        <v>1.6805926203078125</v>
      </c>
      <c r="I128">
        <f t="shared" si="25"/>
        <v>0.19351917532388652</v>
      </c>
      <c r="J128">
        <f t="shared" si="26"/>
        <v>5.7724412100401414</v>
      </c>
    </row>
    <row r="129" spans="8:10">
      <c r="H129">
        <f t="shared" si="24"/>
        <v>1.6612407027754239</v>
      </c>
      <c r="I129">
        <f t="shared" si="25"/>
        <v>0.19241470700133803</v>
      </c>
      <c r="J129">
        <f t="shared" si="26"/>
        <v>5.7393044315520614</v>
      </c>
    </row>
    <row r="130" spans="8:10">
      <c r="H130">
        <f t="shared" si="24"/>
        <v>1.6419992320752901</v>
      </c>
      <c r="I130">
        <f t="shared" si="25"/>
        <v>0.19131014771840205</v>
      </c>
      <c r="J130">
        <f t="shared" si="26"/>
        <v>5.7061648919741454</v>
      </c>
    </row>
    <row r="131" spans="8:10">
      <c r="H131">
        <f t="shared" si="24"/>
        <v>1.6228682173034499</v>
      </c>
      <c r="I131">
        <f t="shared" si="25"/>
        <v>0.1902054963991382</v>
      </c>
      <c r="J131">
        <f t="shared" si="26"/>
        <v>5.6730225584493921</v>
      </c>
    </row>
    <row r="132" spans="8:10">
      <c r="H132">
        <f t="shared" si="24"/>
        <v>1.603847667663536</v>
      </c>
      <c r="I132">
        <f t="shared" si="25"/>
        <v>0.18910075194831308</v>
      </c>
      <c r="J132">
        <f t="shared" si="26"/>
        <v>5.6398773975280365</v>
      </c>
    </row>
    <row r="133" spans="8:10">
      <c r="H133">
        <f t="shared" si="24"/>
        <v>1.5849375924687048</v>
      </c>
      <c r="I133">
        <f t="shared" si="25"/>
        <v>0.18799591325093457</v>
      </c>
      <c r="J133">
        <f t="shared" si="26"/>
        <v>5.6067293751531571</v>
      </c>
    </row>
    <row r="134" spans="8:10">
      <c r="H134">
        <f t="shared" si="24"/>
        <v>1.5661380011436115</v>
      </c>
      <c r="I134">
        <f t="shared" si="25"/>
        <v>0.18689097917177191</v>
      </c>
      <c r="J134">
        <f t="shared" si="26"/>
        <v>5.5735784566458388</v>
      </c>
    </row>
    <row r="135" spans="8:10">
      <c r="H135">
        <f t="shared" si="24"/>
        <v>1.5474489032264342</v>
      </c>
      <c r="I135">
        <f t="shared" si="25"/>
        <v>0.1857859485548613</v>
      </c>
      <c r="J135">
        <f t="shared" si="26"/>
        <v>5.5404246066898866</v>
      </c>
    </row>
    <row r="136" spans="8:10">
      <c r="H136">
        <f t="shared" si="24"/>
        <v>1.5288703083709481</v>
      </c>
      <c r="I136">
        <f t="shared" si="25"/>
        <v>0.18468082022299623</v>
      </c>
      <c r="J136">
        <f t="shared" si="26"/>
        <v>5.5072677893160522</v>
      </c>
    </row>
    <row r="137" spans="8:10">
      <c r="H137">
        <f t="shared" si="24"/>
        <v>1.5104022263486485</v>
      </c>
      <c r="I137">
        <f t="shared" si="25"/>
        <v>0.18357559297720175</v>
      </c>
      <c r="J137">
        <f t="shared" si="26"/>
        <v>5.4741079678857796</v>
      </c>
    </row>
    <row r="138" spans="8:10">
      <c r="H138">
        <f t="shared" si="24"/>
        <v>1.4920446670509284</v>
      </c>
      <c r="I138">
        <f t="shared" si="25"/>
        <v>0.18247026559619264</v>
      </c>
      <c r="J138">
        <f t="shared" si="26"/>
        <v>5.44094510507444</v>
      </c>
    </row>
    <row r="139" spans="8:10">
      <c r="H139">
        <f t="shared" si="24"/>
        <v>1.4737976404913091</v>
      </c>
      <c r="I139">
        <f t="shared" si="25"/>
        <v>0.1813648368358147</v>
      </c>
      <c r="J139">
        <f t="shared" si="26"/>
        <v>5.4077791628540268</v>
      </c>
    </row>
    <row r="140" spans="8:10">
      <c r="H140">
        <f t="shared" si="24"/>
        <v>1.4556611568077276</v>
      </c>
      <c r="I140">
        <f t="shared" si="25"/>
        <v>0.18025930542846758</v>
      </c>
      <c r="J140">
        <f t="shared" si="26"/>
        <v>5.3746101024753097</v>
      </c>
    </row>
    <row r="141" spans="8:10">
      <c r="H141">
        <f t="shared" si="24"/>
        <v>1.4376352262648808</v>
      </c>
      <c r="I141">
        <f t="shared" si="25"/>
        <v>0.17915367008251035</v>
      </c>
      <c r="J141">
        <f t="shared" si="26"/>
        <v>5.3414378844494168</v>
      </c>
    </row>
    <row r="142" spans="8:10">
      <c r="H142">
        <f t="shared" si="24"/>
        <v>1.4197198592566298</v>
      </c>
      <c r="I142">
        <f t="shared" si="25"/>
        <v>0.17804792948164724</v>
      </c>
      <c r="J142">
        <f t="shared" si="26"/>
        <v>5.3082624685288184</v>
      </c>
    </row>
    <row r="143" spans="8:10">
      <c r="H143">
        <f t="shared" si="24"/>
        <v>1.4019150663084652</v>
      </c>
      <c r="I143">
        <f t="shared" si="25"/>
        <v>0.17694208228429395</v>
      </c>
      <c r="J143">
        <f t="shared" si="26"/>
        <v>5.2750838136876981</v>
      </c>
    </row>
    <row r="144" spans="8:10">
      <c r="H144">
        <f t="shared" si="24"/>
        <v>1.3842208580800357</v>
      </c>
      <c r="I144">
        <f t="shared" si="25"/>
        <v>0.17583612712292329</v>
      </c>
      <c r="J144">
        <f t="shared" si="26"/>
        <v>5.2419018781016797</v>
      </c>
    </row>
    <row r="145" spans="8:10">
      <c r="H145">
        <f t="shared" si="24"/>
        <v>1.3666372453677433</v>
      </c>
      <c r="I145">
        <f t="shared" si="25"/>
        <v>0.17473006260338933</v>
      </c>
      <c r="J145">
        <f t="shared" si="26"/>
        <v>5.2087166191268945</v>
      </c>
    </row>
    <row r="146" spans="8:10">
      <c r="H146">
        <f t="shared" si="24"/>
        <v>1.3491642391074044</v>
      </c>
      <c r="I146">
        <f t="shared" si="25"/>
        <v>0.17362388730422984</v>
      </c>
      <c r="J146">
        <f t="shared" si="26"/>
        <v>5.1755279932783447</v>
      </c>
    </row>
    <row r="147" spans="8:10">
      <c r="H147">
        <f t="shared" si="24"/>
        <v>1.3318018503769813</v>
      </c>
      <c r="I147">
        <f t="shared" si="25"/>
        <v>0.17251759977594483</v>
      </c>
      <c r="J147">
        <f t="shared" si="26"/>
        <v>5.1423359562075603</v>
      </c>
    </row>
    <row r="148" spans="8:10">
      <c r="H148">
        <f t="shared" si="24"/>
        <v>1.3145500903993868</v>
      </c>
      <c r="I148">
        <f t="shared" si="25"/>
        <v>0.17141119854025202</v>
      </c>
      <c r="J148">
        <f t="shared" si="26"/>
        <v>5.1091404626794938</v>
      </c>
    </row>
    <row r="149" spans="8:10">
      <c r="H149">
        <f t="shared" si="24"/>
        <v>1.2974089705453615</v>
      </c>
      <c r="I149">
        <f t="shared" si="25"/>
        <v>0.17030468208931648</v>
      </c>
      <c r="J149">
        <f t="shared" si="26"/>
        <v>5.0759414665486426</v>
      </c>
    </row>
    <row r="150" spans="8:10">
      <c r="H150">
        <f t="shared" si="24"/>
        <v>1.2803785023364298</v>
      </c>
      <c r="I150">
        <f t="shared" si="25"/>
        <v>0.16919804888495474</v>
      </c>
      <c r="J150">
        <f t="shared" si="26"/>
        <v>5.0427389207343554</v>
      </c>
    </row>
    <row r="151" spans="8:10">
      <c r="H151">
        <f t="shared" si="24"/>
        <v>1.2634586974479343</v>
      </c>
      <c r="I151">
        <f t="shared" si="25"/>
        <v>0.16809129735781184</v>
      </c>
      <c r="J151">
        <f t="shared" si="26"/>
        <v>5.0095327771952975</v>
      </c>
    </row>
    <row r="152" spans="8:10">
      <c r="H152">
        <f t="shared" si="24"/>
        <v>1.2466495677121532</v>
      </c>
      <c r="I152">
        <f t="shared" si="25"/>
        <v>0.16698442590650994</v>
      </c>
      <c r="J152">
        <f t="shared" si="26"/>
        <v>4.9763229869030319</v>
      </c>
    </row>
    <row r="153" spans="8:10">
      <c r="H153">
        <f t="shared" si="24"/>
        <v>1.2299511251215023</v>
      </c>
      <c r="I153">
        <f t="shared" si="25"/>
        <v>0.16587743289676773</v>
      </c>
      <c r="J153">
        <f t="shared" si="26"/>
        <v>4.9431094998146872</v>
      </c>
    </row>
    <row r="154" spans="8:10">
      <c r="H154">
        <f t="shared" si="24"/>
        <v>1.2133633818318255</v>
      </c>
      <c r="I154">
        <f t="shared" si="25"/>
        <v>0.16477031666048958</v>
      </c>
      <c r="J154">
        <f t="shared" si="26"/>
        <v>4.9098922648446619</v>
      </c>
    </row>
    <row r="155" spans="8:10">
      <c r="H155">
        <f t="shared" si="24"/>
        <v>1.1968863501657765</v>
      </c>
      <c r="I155">
        <f t="shared" si="25"/>
        <v>0.16366307549482206</v>
      </c>
      <c r="J155">
        <f t="shared" si="26"/>
        <v>4.8766712298353454</v>
      </c>
    </row>
    <row r="156" spans="8:10">
      <c r="H156">
        <f t="shared" si="24"/>
        <v>1.1805200426162943</v>
      </c>
      <c r="I156">
        <f t="shared" si="25"/>
        <v>0.16255570766117819</v>
      </c>
      <c r="J156">
        <f t="shared" si="26"/>
        <v>4.8434463415267874</v>
      </c>
    </row>
    <row r="157" spans="8:10">
      <c r="H157">
        <f t="shared" si="24"/>
        <v>1.1642644718501765</v>
      </c>
      <c r="I157">
        <f t="shared" si="25"/>
        <v>0.16144821138422624</v>
      </c>
      <c r="J157">
        <f t="shared" si="26"/>
        <v>4.8102175455252922</v>
      </c>
    </row>
    <row r="158" spans="8:10">
      <c r="H158">
        <f t="shared" si="24"/>
        <v>1.1481196507117539</v>
      </c>
      <c r="I158">
        <f t="shared" si="25"/>
        <v>0.1603405848508431</v>
      </c>
      <c r="J158">
        <f t="shared" si="26"/>
        <v>4.7769847862708819</v>
      </c>
    </row>
    <row r="159" spans="8:10">
      <c r="H159">
        <f t="shared" si="24"/>
        <v>1.1320855922266697</v>
      </c>
      <c r="I159">
        <f t="shared" si="25"/>
        <v>0.1592328262090294</v>
      </c>
      <c r="J159">
        <f t="shared" si="26"/>
        <v>4.7437480070035738</v>
      </c>
    </row>
    <row r="160" spans="8:10">
      <c r="H160">
        <f t="shared" si="24"/>
        <v>1.1161623096057667</v>
      </c>
      <c r="I160">
        <f t="shared" si="25"/>
        <v>0.15812493356678581</v>
      </c>
      <c r="J160">
        <f t="shared" si="26"/>
        <v>4.7105071497284374</v>
      </c>
    </row>
    <row r="161" spans="8:10">
      <c r="H161">
        <f t="shared" si="24"/>
        <v>1.1003498162490881</v>
      </c>
      <c r="I161">
        <f t="shared" si="25"/>
        <v>0.15701690499094792</v>
      </c>
      <c r="J161">
        <f t="shared" si="26"/>
        <v>4.6772621551793554</v>
      </c>
    </row>
    <row r="162" spans="8:10">
      <c r="H162">
        <f t="shared" si="24"/>
        <v>1.0846481257499934</v>
      </c>
      <c r="I162">
        <f t="shared" si="25"/>
        <v>0.15590873850597853</v>
      </c>
      <c r="J162">
        <f t="shared" si="26"/>
        <v>4.6440129627814493</v>
      </c>
    </row>
    <row r="163" spans="8:10">
      <c r="H163">
        <f t="shared" si="24"/>
        <v>1.0690572518993955</v>
      </c>
      <c r="I163">
        <f t="shared" si="25"/>
        <v>0.15480043209271499</v>
      </c>
      <c r="J163">
        <f t="shared" si="26"/>
        <v>4.6107595106120938</v>
      </c>
    </row>
    <row r="164" spans="8:10">
      <c r="H164">
        <f t="shared" si="24"/>
        <v>1.0535772086901241</v>
      </c>
      <c r="I164">
        <f t="shared" si="25"/>
        <v>0.15369198368706979</v>
      </c>
      <c r="J164">
        <f t="shared" si="26"/>
        <v>4.5775017353604737</v>
      </c>
    </row>
    <row r="165" spans="8:10">
      <c r="H165">
        <f t="shared" si="24"/>
        <v>1.0382080103214171</v>
      </c>
      <c r="I165">
        <f t="shared" si="25"/>
        <v>0.15258339117868247</v>
      </c>
      <c r="J165">
        <f t="shared" si="26"/>
        <v>4.5442395722856022</v>
      </c>
    </row>
    <row r="166" spans="8:10">
      <c r="H166">
        <f t="shared" si="24"/>
        <v>1.0229496712035488</v>
      </c>
      <c r="I166">
        <f t="shared" si="25"/>
        <v>0.15147465240952007</v>
      </c>
      <c r="J166">
        <f t="shared" si="26"/>
        <v>4.5109729551727282</v>
      </c>
    </row>
    <row r="167" spans="8:10">
      <c r="H167">
        <f t="shared" ref="H167:H174" si="27">H166-I166*$B$6</f>
        <v>1.0078022059625968</v>
      </c>
      <c r="I167">
        <f t="shared" ref="I167:I174" si="28">$B$10*J166/$B$9</f>
        <v>0.15036576517242428</v>
      </c>
      <c r="J167">
        <f t="shared" ref="J167:J174" si="29">SQRT(2*$B$7*H166)</f>
        <v>4.4777018162880786</v>
      </c>
    </row>
    <row r="168" spans="8:10">
      <c r="H168">
        <f t="shared" si="27"/>
        <v>0.9927656294453544</v>
      </c>
      <c r="I168">
        <f t="shared" si="28"/>
        <v>0.14925672720960262</v>
      </c>
      <c r="J168">
        <f t="shared" si="29"/>
        <v>4.4444260863318332</v>
      </c>
    </row>
    <row r="169" spans="8:10">
      <c r="H169">
        <f t="shared" si="27"/>
        <v>0.97783995672439417</v>
      </c>
      <c r="I169">
        <f t="shared" si="28"/>
        <v>0.14814753621106111</v>
      </c>
      <c r="J169">
        <f t="shared" si="29"/>
        <v>4.4111456943892646</v>
      </c>
    </row>
    <row r="170" spans="8:10">
      <c r="H170">
        <f t="shared" si="27"/>
        <v>0.9630252031032881</v>
      </c>
      <c r="I170">
        <f t="shared" si="28"/>
        <v>0.14703818981297548</v>
      </c>
      <c r="J170">
        <f t="shared" si="29"/>
        <v>4.3778605678799467</v>
      </c>
    </row>
    <row r="171" spans="8:10">
      <c r="H171">
        <f t="shared" si="27"/>
        <v>0.94832138412199052</v>
      </c>
      <c r="I171">
        <f t="shared" si="28"/>
        <v>0.14592868559599823</v>
      </c>
      <c r="J171">
        <f t="shared" si="29"/>
        <v>4.3445706325049489</v>
      </c>
    </row>
    <row r="172" spans="8:10">
      <c r="H172">
        <f t="shared" si="27"/>
        <v>0.93372851556239067</v>
      </c>
      <c r="I172">
        <f t="shared" si="28"/>
        <v>0.14481902108349831</v>
      </c>
      <c r="J172">
        <f t="shared" si="29"/>
        <v>4.3112758121919104</v>
      </c>
    </row>
    <row r="173" spans="8:10">
      <c r="H173">
        <f t="shared" si="27"/>
        <v>0.9192466134540408</v>
      </c>
      <c r="I173">
        <f t="shared" si="28"/>
        <v>0.14370919373973035</v>
      </c>
      <c r="J173">
        <f t="shared" si="29"/>
        <v>4.2779760290378972</v>
      </c>
    </row>
    <row r="174" spans="8:10">
      <c r="H174">
        <f t="shared" si="27"/>
        <v>0.90487569408006774</v>
      </c>
      <c r="I174">
        <f t="shared" si="28"/>
        <v>0.14259920096792991</v>
      </c>
      <c r="J174">
        <f t="shared" si="29"/>
        <v>4.2446712032499292</v>
      </c>
    </row>
    <row r="175" spans="8:10">
      <c r="H175">
        <f t="shared" ref="H175:H236" si="30">H174-I174*$B$6</f>
        <v>0.89061577398327474</v>
      </c>
      <c r="I175">
        <f t="shared" ref="I175:I236" si="31">$B$10*J174/$B$9</f>
        <v>0.14148904010833099</v>
      </c>
      <c r="J175">
        <f t="shared" ref="J175:J236" si="32">SQRT(2*$B$7*H174)</f>
        <v>4.2113612530830613</v>
      </c>
    </row>
    <row r="176" spans="8:10">
      <c r="H176">
        <f t="shared" si="30"/>
        <v>0.87646686997244161</v>
      </c>
      <c r="I176">
        <f t="shared" si="31"/>
        <v>0.14037870843610203</v>
      </c>
      <c r="J176">
        <f t="shared" si="32"/>
        <v>4.1780460947759046</v>
      </c>
    </row>
    <row r="177" spans="8:10">
      <c r="H177">
        <f t="shared" si="30"/>
        <v>0.86242899912883142</v>
      </c>
      <c r="I177">
        <f t="shared" si="31"/>
        <v>0.13926820315919683</v>
      </c>
      <c r="J177">
        <f t="shared" si="32"/>
        <v>4.1447256424834515</v>
      </c>
    </row>
    <row r="178" spans="8:10">
      <c r="H178">
        <f t="shared" si="30"/>
        <v>0.84850217881291179</v>
      </c>
      <c r="I178">
        <f t="shared" si="31"/>
        <v>0.13815752141611506</v>
      </c>
      <c r="J178">
        <f t="shared" si="32"/>
        <v>4.1113998082070653</v>
      </c>
    </row>
    <row r="179" spans="8:10">
      <c r="H179">
        <f t="shared" si="30"/>
        <v>0.83468642667130033</v>
      </c>
      <c r="I179">
        <f t="shared" si="31"/>
        <v>0.13704666027356885</v>
      </c>
      <c r="J179">
        <f t="shared" si="32"/>
        <v>4.0780685017215044</v>
      </c>
    </row>
    <row r="180" spans="8:10">
      <c r="H180">
        <f t="shared" si="30"/>
        <v>0.82098176064394346</v>
      </c>
      <c r="I180">
        <f t="shared" si="31"/>
        <v>0.13593561672405016</v>
      </c>
      <c r="J180">
        <f t="shared" si="32"/>
        <v>4.0447316304988004</v>
      </c>
    </row>
    <row r="181" spans="8:10">
      <c r="H181">
        <f t="shared" si="30"/>
        <v>0.80738819897153846</v>
      </c>
      <c r="I181">
        <f t="shared" si="31"/>
        <v>0.13482438768329336</v>
      </c>
      <c r="J181">
        <f t="shared" si="32"/>
        <v>4.0113890996288672</v>
      </c>
    </row>
    <row r="182" spans="8:10">
      <c r="H182">
        <f t="shared" si="30"/>
        <v>0.79390576020320913</v>
      </c>
      <c r="I182">
        <f t="shared" si="31"/>
        <v>0.13371296998762891</v>
      </c>
      <c r="J182">
        <f t="shared" si="32"/>
        <v>3.9780408117366211</v>
      </c>
    </row>
    <row r="183" spans="8:10">
      <c r="H183">
        <f t="shared" si="30"/>
        <v>0.78053446320444619</v>
      </c>
      <c r="I183">
        <f t="shared" si="31"/>
        <v>0.1326013603912207</v>
      </c>
      <c r="J183">
        <f t="shared" si="32"/>
        <v>3.9446866668954708</v>
      </c>
    </row>
    <row r="184" spans="8:10">
      <c r="H184">
        <f t="shared" si="30"/>
        <v>0.76727432716532418</v>
      </c>
      <c r="I184">
        <f t="shared" si="31"/>
        <v>0.13148955556318237</v>
      </c>
      <c r="J184">
        <f t="shared" si="32"/>
        <v>3.9113265625369542</v>
      </c>
    </row>
    <row r="185" spans="8:10">
      <c r="H185">
        <f t="shared" si="30"/>
        <v>0.75412537160900595</v>
      </c>
      <c r="I185">
        <f t="shared" si="31"/>
        <v>0.13037755208456514</v>
      </c>
      <c r="J185">
        <f t="shared" si="32"/>
        <v>3.8779603933563265</v>
      </c>
    </row>
    <row r="186" spans="8:10">
      <c r="H186">
        <f t="shared" si="30"/>
        <v>0.74108761640054943</v>
      </c>
      <c r="I186">
        <f t="shared" si="31"/>
        <v>0.1292653464452109</v>
      </c>
      <c r="J186">
        <f t="shared" si="32"/>
        <v>3.844588051213877</v>
      </c>
    </row>
    <row r="187" spans="8:10">
      <c r="H187">
        <f t="shared" si="30"/>
        <v>0.72816108175602834</v>
      </c>
      <c r="I187">
        <f t="shared" si="31"/>
        <v>0.12815293504046257</v>
      </c>
      <c r="J187">
        <f t="shared" si="32"/>
        <v>3.8112094250317403</v>
      </c>
    </row>
    <row r="188" spans="8:10">
      <c r="H188">
        <f t="shared" si="30"/>
        <v>0.71534578825198203</v>
      </c>
      <c r="I188">
        <f t="shared" si="31"/>
        <v>0.12704031416772468</v>
      </c>
      <c r="J188">
        <f t="shared" si="32"/>
        <v>3.77782440068595</v>
      </c>
    </row>
    <row r="189" spans="8:10">
      <c r="H189">
        <f t="shared" si="30"/>
        <v>0.70264175683520957</v>
      </c>
      <c r="I189">
        <f t="shared" si="31"/>
        <v>0.125927480022865</v>
      </c>
      <c r="J189">
        <f t="shared" si="32"/>
        <v>3.7444328608934692</v>
      </c>
    </row>
    <row r="190" spans="8:10">
      <c r="H190">
        <f t="shared" si="30"/>
        <v>0.69004900883292308</v>
      </c>
      <c r="I190">
        <f t="shared" si="31"/>
        <v>0.12481442869644899</v>
      </c>
      <c r="J190">
        <f t="shared" si="32"/>
        <v>3.7110346850939173</v>
      </c>
    </row>
    <row r="191" spans="8:10">
      <c r="H191">
        <f t="shared" si="30"/>
        <v>0.67756756596327816</v>
      </c>
      <c r="I191">
        <f t="shared" si="31"/>
        <v>0.12370115616979725</v>
      </c>
      <c r="J191">
        <f t="shared" si="32"/>
        <v>3.6776297493256838</v>
      </c>
    </row>
    <row r="192" spans="8:10">
      <c r="H192">
        <f t="shared" si="30"/>
        <v>0.6651974503462984</v>
      </c>
      <c r="I192">
        <f t="shared" si="31"/>
        <v>0.12258765831085612</v>
      </c>
      <c r="J192">
        <f t="shared" si="32"/>
        <v>3.6442179260961129</v>
      </c>
    </row>
    <row r="193" spans="8:10">
      <c r="H193">
        <f t="shared" si="30"/>
        <v>0.65293868451521275</v>
      </c>
      <c r="I193">
        <f t="shared" si="31"/>
        <v>0.12147393086987045</v>
      </c>
      <c r="J193">
        <f t="shared" si="32"/>
        <v>3.6107990842454045</v>
      </c>
    </row>
    <row r="194" spans="8:10">
      <c r="H194">
        <f t="shared" si="30"/>
        <v>0.64079129142822566</v>
      </c>
      <c r="I194">
        <f t="shared" si="31"/>
        <v>0.12035996947484683</v>
      </c>
      <c r="J194">
        <f t="shared" si="32"/>
        <v>3.5773730888038742</v>
      </c>
    </row>
    <row r="195" spans="8:10">
      <c r="H195">
        <f t="shared" si="30"/>
        <v>0.62875529448074097</v>
      </c>
      <c r="I195">
        <f t="shared" si="31"/>
        <v>0.11924576962679583</v>
      </c>
      <c r="J195">
        <f t="shared" si="32"/>
        <v>3.5439398008421676</v>
      </c>
    </row>
    <row r="196" spans="8:10">
      <c r="H196">
        <f t="shared" si="30"/>
        <v>0.6168307175180614</v>
      </c>
      <c r="I196">
        <f t="shared" si="31"/>
        <v>0.11813132669473893</v>
      </c>
      <c r="J196">
        <f t="shared" si="32"/>
        <v>3.5104990773140115</v>
      </c>
    </row>
    <row r="197" spans="8:10">
      <c r="H197">
        <f t="shared" si="30"/>
        <v>0.60501758484858748</v>
      </c>
      <c r="I197">
        <f t="shared" si="31"/>
        <v>0.11701663591046706</v>
      </c>
      <c r="J197">
        <f t="shared" si="32"/>
        <v>3.4770507708910441</v>
      </c>
    </row>
    <row r="198" spans="8:10">
      <c r="H198">
        <f t="shared" si="30"/>
        <v>0.59331592125754073</v>
      </c>
      <c r="I198">
        <f t="shared" si="31"/>
        <v>0.11590169236303481</v>
      </c>
      <c r="J198">
        <f t="shared" si="32"/>
        <v>3.4435947297892526</v>
      </c>
    </row>
    <row r="199" spans="8:10">
      <c r="H199">
        <f t="shared" si="30"/>
        <v>0.58172575202123722</v>
      </c>
      <c r="I199">
        <f t="shared" si="31"/>
        <v>0.1147864909929751</v>
      </c>
      <c r="J199">
        <f t="shared" si="32"/>
        <v>3.4101307975864796</v>
      </c>
    </row>
    <row r="200" spans="8:10">
      <c r="H200">
        <f t="shared" si="30"/>
        <v>0.5702471029219397</v>
      </c>
      <c r="I200">
        <f t="shared" si="31"/>
        <v>0.11367102658621599</v>
      </c>
      <c r="J200">
        <f t="shared" si="32"/>
        <v>3.3766588130304562</v>
      </c>
    </row>
    <row r="201" spans="8:10">
      <c r="H201">
        <f t="shared" si="30"/>
        <v>0.55888000026331808</v>
      </c>
      <c r="I201">
        <f t="shared" si="31"/>
        <v>0.11255529376768188</v>
      </c>
      <c r="J201">
        <f t="shared" si="32"/>
        <v>3.3431786098367553</v>
      </c>
    </row>
    <row r="202" spans="8:10">
      <c r="H202">
        <f t="shared" si="30"/>
        <v>0.54762447088654986</v>
      </c>
      <c r="I202">
        <f t="shared" si="31"/>
        <v>0.11143928699455852</v>
      </c>
      <c r="J202">
        <f t="shared" si="32"/>
        <v>3.3096900164760195</v>
      </c>
    </row>
    <row r="203" spans="8:10">
      <c r="H203">
        <f t="shared" si="30"/>
        <v>0.53648054218709396</v>
      </c>
      <c r="I203">
        <f t="shared" si="31"/>
        <v>0.11032300054920065</v>
      </c>
      <c r="J203">
        <f t="shared" si="32"/>
        <v>3.2761928559497804</v>
      </c>
    </row>
    <row r="204" spans="8:10">
      <c r="H204">
        <f t="shared" si="30"/>
        <v>0.52544824213217389</v>
      </c>
      <c r="I204">
        <f t="shared" si="31"/>
        <v>0.10920642853165935</v>
      </c>
      <c r="J204">
        <f t="shared" si="32"/>
        <v>3.2426869455541101</v>
      </c>
    </row>
    <row r="205" spans="8:10">
      <c r="H205">
        <f t="shared" si="30"/>
        <v>0.51452759927900793</v>
      </c>
      <c r="I205">
        <f t="shared" si="31"/>
        <v>0.10808956485180367</v>
      </c>
      <c r="J205">
        <f t="shared" si="32"/>
        <v>3.2091720966303146</v>
      </c>
    </row>
    <row r="206" spans="8:10">
      <c r="H206">
        <f t="shared" si="30"/>
        <v>0.50371864279382761</v>
      </c>
      <c r="I206">
        <f t="shared" si="31"/>
        <v>0.1069724032210105</v>
      </c>
      <c r="J206">
        <f t="shared" si="32"/>
        <v>3.1756481143017967</v>
      </c>
    </row>
    <row r="207" spans="8:10">
      <c r="H207">
        <f t="shared" si="30"/>
        <v>0.49302140247172654</v>
      </c>
      <c r="I207">
        <f t="shared" si="31"/>
        <v>0.10585493714339322</v>
      </c>
      <c r="J207">
        <f t="shared" si="32"/>
        <v>3.1421147971961529</v>
      </c>
    </row>
    <row r="208" spans="8:10">
      <c r="H208">
        <f t="shared" si="30"/>
        <v>0.48243590875738723</v>
      </c>
      <c r="I208">
        <f t="shared" si="31"/>
        <v>0.10473715990653844</v>
      </c>
      <c r="J208">
        <f t="shared" si="32"/>
        <v>3.1085719371515022</v>
      </c>
    </row>
    <row r="209" spans="8:10">
      <c r="H209">
        <f t="shared" si="30"/>
        <v>0.4719621927667334</v>
      </c>
      <c r="I209">
        <f t="shared" si="31"/>
        <v>0.10361906457171675</v>
      </c>
      <c r="J209">
        <f t="shared" si="32"/>
        <v>3.0750193189059463</v>
      </c>
    </row>
    <row r="210" spans="8:10">
      <c r="H210">
        <f t="shared" si="30"/>
        <v>0.46160028630956174</v>
      </c>
      <c r="I210">
        <f t="shared" si="31"/>
        <v>0.10250064396353155</v>
      </c>
      <c r="J210">
        <f t="shared" si="32"/>
        <v>3.0414567197689952</v>
      </c>
    </row>
    <row r="211" spans="8:10">
      <c r="H211">
        <f t="shared" si="30"/>
        <v>0.45135022191320856</v>
      </c>
      <c r="I211">
        <f t="shared" si="31"/>
        <v>0.10138189065896652</v>
      </c>
      <c r="J211">
        <f t="shared" si="32"/>
        <v>3.0078839092736627</v>
      </c>
    </row>
    <row r="212" spans="8:10">
      <c r="H212">
        <f t="shared" si="30"/>
        <v>0.44121203284731192</v>
      </c>
      <c r="I212">
        <f t="shared" si="31"/>
        <v>0.10026279697578877</v>
      </c>
      <c r="J212">
        <f t="shared" si="32"/>
        <v>2.9743006488078652</v>
      </c>
    </row>
    <row r="213" spans="8:10">
      <c r="H213">
        <f t="shared" si="30"/>
        <v>0.43118575314973306</v>
      </c>
      <c r="I213">
        <f t="shared" si="31"/>
        <v>9.9143354960262178E-2</v>
      </c>
      <c r="J213">
        <f t="shared" si="32"/>
        <v>2.9407066912236104</v>
      </c>
    </row>
    <row r="214" spans="8:10">
      <c r="H214">
        <f t="shared" si="30"/>
        <v>0.42127141765370685</v>
      </c>
      <c r="I214">
        <f t="shared" si="31"/>
        <v>9.8023556374120357E-2</v>
      </c>
      <c r="J214">
        <f t="shared" si="32"/>
        <v>2.9071017804223449</v>
      </c>
    </row>
    <row r="215" spans="8:10">
      <c r="H215">
        <f t="shared" si="30"/>
        <v>0.4114690620162948</v>
      </c>
      <c r="I215">
        <f t="shared" si="31"/>
        <v>9.6903392680744826E-2</v>
      </c>
      <c r="J215">
        <f t="shared" si="32"/>
        <v>2.873485650914696</v>
      </c>
    </row>
    <row r="216" spans="8:10">
      <c r="H216">
        <f t="shared" si="30"/>
        <v>0.4017787227482203</v>
      </c>
      <c r="I216">
        <f t="shared" si="31"/>
        <v>9.5782855030489875E-2</v>
      </c>
      <c r="J216">
        <f t="shared" si="32"/>
        <v>2.8398580273526668</v>
      </c>
    </row>
    <row r="217" spans="8:10">
      <c r="H217">
        <f t="shared" si="30"/>
        <v>0.39220043724517129</v>
      </c>
      <c r="I217">
        <f t="shared" si="31"/>
        <v>9.4661934245088897E-2</v>
      </c>
      <c r="J217">
        <f t="shared" si="32"/>
        <v>2.8062186240321902</v>
      </c>
    </row>
    <row r="218" spans="8:10">
      <c r="H218">
        <f t="shared" si="30"/>
        <v>0.3827342438206624</v>
      </c>
      <c r="I218">
        <f t="shared" si="31"/>
        <v>9.3540620801073004E-2</v>
      </c>
      <c r="J218">
        <f t="shared" si="32"/>
        <v>2.7725671443637498</v>
      </c>
    </row>
    <row r="219" spans="8:10">
      <c r="H219">
        <f t="shared" si="30"/>
        <v>0.37338018174055509</v>
      </c>
      <c r="I219">
        <f t="shared" si="31"/>
        <v>9.2418904812125002E-2</v>
      </c>
      <c r="J219">
        <f t="shared" si="32"/>
        <v>2.7389032803085587</v>
      </c>
    </row>
    <row r="220" spans="8:10">
      <c r="H220">
        <f t="shared" si="30"/>
        <v>0.36413829125934261</v>
      </c>
      <c r="I220">
        <f t="shared" si="31"/>
        <v>9.1296776010285297E-2</v>
      </c>
      <c r="J220">
        <f t="shared" si="32"/>
        <v>2.7052267117775695</v>
      </c>
    </row>
    <row r="221" spans="8:10">
      <c r="H221">
        <f t="shared" si="30"/>
        <v>0.3550086136583141</v>
      </c>
      <c r="I221">
        <f t="shared" si="31"/>
        <v>9.0174223725918989E-2</v>
      </c>
      <c r="J221">
        <f t="shared" si="32"/>
        <v>2.6715371059903164</v>
      </c>
    </row>
    <row r="222" spans="8:10">
      <c r="H222">
        <f t="shared" si="30"/>
        <v>0.3459911912857222</v>
      </c>
      <c r="I222">
        <f t="shared" si="31"/>
        <v>8.9051236866343877E-2</v>
      </c>
      <c r="J222">
        <f t="shared" si="32"/>
        <v>2.6378341167903181</v>
      </c>
    </row>
    <row r="223" spans="8:10">
      <c r="H223">
        <f t="shared" si="30"/>
        <v>0.33708606759908782</v>
      </c>
      <c r="I223">
        <f t="shared" si="31"/>
        <v>8.7927803893010595E-2</v>
      </c>
      <c r="J223">
        <f t="shared" si="32"/>
        <v>2.6041173839134357</v>
      </c>
    </row>
    <row r="224" spans="8:10">
      <c r="H224">
        <f t="shared" si="30"/>
        <v>0.32829328720978679</v>
      </c>
      <c r="I224">
        <f t="shared" si="31"/>
        <v>8.6803912797114524E-2</v>
      </c>
      <c r="J224">
        <f t="shared" si="32"/>
        <v>2.5703865322052484</v>
      </c>
    </row>
    <row r="225" spans="8:10">
      <c r="H225">
        <f t="shared" si="30"/>
        <v>0.31961289593007536</v>
      </c>
      <c r="I225">
        <f t="shared" si="31"/>
        <v>8.5679551073508275E-2</v>
      </c>
      <c r="J225">
        <f t="shared" si="32"/>
        <v>2.5366411707830929</v>
      </c>
    </row>
    <row r="226" spans="8:10">
      <c r="H226">
        <f t="shared" si="30"/>
        <v>0.31104494082272455</v>
      </c>
      <c r="I226">
        <f t="shared" si="31"/>
        <v>8.455470569276978E-2</v>
      </c>
      <c r="J226">
        <f t="shared" si="32"/>
        <v>2.5028808921379935</v>
      </c>
    </row>
    <row r="227" spans="8:10">
      <c r="H227">
        <f t="shared" si="30"/>
        <v>0.30258947025344757</v>
      </c>
      <c r="I227">
        <f t="shared" si="31"/>
        <v>8.3429363071266457E-2</v>
      </c>
      <c r="J227">
        <f t="shared" si="32"/>
        <v>2.4691052711711992</v>
      </c>
    </row>
    <row r="228" spans="8:10">
      <c r="H228">
        <f t="shared" si="30"/>
        <v>0.29424653394632094</v>
      </c>
      <c r="I228">
        <f t="shared" si="31"/>
        <v>8.2303509039039977E-2</v>
      </c>
      <c r="J228">
        <f t="shared" si="32"/>
        <v>2.4353138641595202</v>
      </c>
    </row>
    <row r="229" spans="8:10">
      <c r="H229">
        <f t="shared" si="30"/>
        <v>0.28601618304241694</v>
      </c>
      <c r="I229">
        <f t="shared" si="31"/>
        <v>8.1177128805317342E-2</v>
      </c>
      <c r="J229">
        <f t="shared" si="32"/>
        <v>2.4015062076430054</v>
      </c>
    </row>
    <row r="230" spans="8:10">
      <c r="H230">
        <f t="shared" si="30"/>
        <v>0.27789847016188518</v>
      </c>
      <c r="I230">
        <f t="shared" si="31"/>
        <v>8.0050206921433512E-2</v>
      </c>
      <c r="J230">
        <f t="shared" si="32"/>
        <v>2.3676818172278495</v>
      </c>
    </row>
    <row r="231" spans="8:10">
      <c r="H231">
        <f t="shared" si="30"/>
        <v>0.26989344946974181</v>
      </c>
      <c r="I231">
        <f t="shared" si="31"/>
        <v>7.8922727240928317E-2</v>
      </c>
      <c r="J231">
        <f t="shared" si="32"/>
        <v>2.3338401862966003</v>
      </c>
    </row>
    <row r="232" spans="8:10">
      <c r="H232">
        <f t="shared" si="30"/>
        <v>0.26200117674564899</v>
      </c>
      <c r="I232">
        <f t="shared" si="31"/>
        <v>7.7794672876553353E-2</v>
      </c>
      <c r="J232">
        <f t="shared" si="32"/>
        <v>2.2999807846168934</v>
      </c>
    </row>
    <row r="233" spans="8:10">
      <c r="H233">
        <f t="shared" si="30"/>
        <v>0.25422170945799366</v>
      </c>
      <c r="I233">
        <f t="shared" si="31"/>
        <v>7.6666026153896449E-2</v>
      </c>
      <c r="J233">
        <f t="shared" si="32"/>
        <v>2.2661030568389249</v>
      </c>
    </row>
    <row r="234" spans="8:10">
      <c r="H234">
        <f t="shared" si="30"/>
        <v>0.24655510684260401</v>
      </c>
      <c r="I234">
        <f t="shared" si="31"/>
        <v>7.5536768561297499E-2</v>
      </c>
      <c r="J234">
        <f t="shared" si="32"/>
        <v>2.2322064208707664</v>
      </c>
    </row>
    <row r="235" spans="8:10">
      <c r="H235">
        <f t="shared" si="30"/>
        <v>0.23900142998647425</v>
      </c>
      <c r="I235">
        <f t="shared" si="31"/>
        <v>7.4406880695692221E-2</v>
      </c>
      <c r="J235">
        <f t="shared" si="32"/>
        <v>2.19829026611934</v>
      </c>
    </row>
    <row r="236" spans="8:10">
      <c r="H236">
        <f t="shared" si="30"/>
        <v>0.23156074191690504</v>
      </c>
      <c r="I236">
        <f t="shared" si="31"/>
        <v>7.3276342203978009E-2</v>
      </c>
      <c r="J236">
        <f t="shared" si="32"/>
        <v>2.16435395158345</v>
      </c>
    </row>
    <row r="237" spans="8:10">
      <c r="H237">
        <f t="shared" ref="H237:H239" si="33">H236-I236*$B$6</f>
        <v>0.22423310769650723</v>
      </c>
      <c r="I237">
        <f t="shared" ref="I237:I239" si="34">$B$10*J236/$B$9</f>
        <v>7.2145131719448335E-2</v>
      </c>
      <c r="J237">
        <f t="shared" ref="J237:J239" si="35">SQRT(2*$B$7*H236)</f>
        <v>2.1303968037835905</v>
      </c>
    </row>
    <row r="238" spans="8:10">
      <c r="H238">
        <f t="shared" si="33"/>
        <v>0.2170185945245624</v>
      </c>
      <c r="I238">
        <f t="shared" si="34"/>
        <v>7.1013226792786363E-2</v>
      </c>
      <c r="J238">
        <f t="shared" si="35"/>
        <v>2.096418114511402</v>
      </c>
    </row>
    <row r="239" spans="8:10">
      <c r="H239">
        <f t="shared" si="33"/>
        <v>0.20991727184528378</v>
      </c>
      <c r="I239">
        <f t="shared" si="34"/>
        <v>6.9880603817046735E-2</v>
      </c>
      <c r="J239">
        <f t="shared" si="35"/>
        <v>2.0624171383794851</v>
      </c>
    </row>
  </sheetData>
  <pageMargins left="0.7" right="0.7" top="0.75" bottom="0.75" header="0.3" footer="0.3"/>
  <drawing r:id="rId1"/>
  <legacyDrawing r:id="rId2"/>
  <controls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2016-12-21T17:31:19Z</dcterms:modified>
</cp:coreProperties>
</file>