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4805" windowHeight="801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D13" i="1"/>
  <c r="M21" l="1"/>
  <c r="M20"/>
  <c r="M19"/>
  <c r="M18"/>
  <c r="M17"/>
  <c r="M16"/>
  <c r="M15"/>
  <c r="M14"/>
  <c r="M13"/>
  <c r="M12"/>
  <c r="M11"/>
  <c r="M10"/>
  <c r="M9"/>
  <c r="M8"/>
  <c r="M7"/>
  <c r="M6"/>
  <c r="M5"/>
  <c r="M4"/>
  <c r="M3"/>
  <c r="M2"/>
  <c r="F21"/>
  <c r="F20"/>
  <c r="F19"/>
  <c r="F18"/>
  <c r="F17"/>
  <c r="F16"/>
  <c r="F15"/>
  <c r="F14"/>
  <c r="F13"/>
  <c r="F12"/>
  <c r="F11"/>
  <c r="F10"/>
  <c r="F9"/>
  <c r="F8"/>
  <c r="F7"/>
  <c r="F6"/>
  <c r="F5"/>
  <c r="F4"/>
  <c r="F3"/>
  <c r="F2"/>
  <c r="D29"/>
  <c r="K21" s="1"/>
  <c r="L21" s="1"/>
  <c r="D2" l="1"/>
  <c r="E2" s="1"/>
  <c r="G2" s="1"/>
  <c r="D3"/>
  <c r="E3" s="1"/>
  <c r="G3" s="1"/>
  <c r="D4"/>
  <c r="E4" s="1"/>
  <c r="G4" s="1"/>
  <c r="D5"/>
  <c r="E5" s="1"/>
  <c r="G5" s="1"/>
  <c r="D6"/>
  <c r="E6" s="1"/>
  <c r="G6" s="1"/>
  <c r="D7"/>
  <c r="E7" s="1"/>
  <c r="G7" s="1"/>
  <c r="D8"/>
  <c r="E8" s="1"/>
  <c r="G8" s="1"/>
  <c r="D9"/>
  <c r="E9" s="1"/>
  <c r="G9" s="1"/>
  <c r="D10"/>
  <c r="E10" s="1"/>
  <c r="G10" s="1"/>
  <c r="D11"/>
  <c r="E11" s="1"/>
  <c r="G11" s="1"/>
  <c r="D12"/>
  <c r="E12" s="1"/>
  <c r="G12" s="1"/>
  <c r="E13"/>
  <c r="G13" s="1"/>
  <c r="D14"/>
  <c r="E14" s="1"/>
  <c r="G14" s="1"/>
  <c r="D15"/>
  <c r="E15" s="1"/>
  <c r="G15" s="1"/>
  <c r="D16"/>
  <c r="E16" s="1"/>
  <c r="G16" s="1"/>
  <c r="D17"/>
  <c r="E17" s="1"/>
  <c r="G17" s="1"/>
  <c r="D18"/>
  <c r="E18" s="1"/>
  <c r="G18" s="1"/>
  <c r="D19"/>
  <c r="E19" s="1"/>
  <c r="G19" s="1"/>
  <c r="D20"/>
  <c r="E20" s="1"/>
  <c r="G20" s="1"/>
  <c r="D21"/>
  <c r="E21" s="1"/>
  <c r="G21" s="1"/>
  <c r="K2"/>
  <c r="L2" s="1"/>
  <c r="N2" s="1"/>
  <c r="K3"/>
  <c r="L3" s="1"/>
  <c r="N3" s="1"/>
  <c r="K4"/>
  <c r="L4" s="1"/>
  <c r="N4" s="1"/>
  <c r="K5"/>
  <c r="L5" s="1"/>
  <c r="N5" s="1"/>
  <c r="K6"/>
  <c r="L6" s="1"/>
  <c r="N6" s="1"/>
  <c r="K7"/>
  <c r="L7" s="1"/>
  <c r="N7" s="1"/>
  <c r="K8"/>
  <c r="L8" s="1"/>
  <c r="N8" s="1"/>
  <c r="K9"/>
  <c r="L9" s="1"/>
  <c r="N9" s="1"/>
  <c r="K10"/>
  <c r="L10" s="1"/>
  <c r="N10" s="1"/>
  <c r="K11"/>
  <c r="L11" s="1"/>
  <c r="N11" s="1"/>
  <c r="K12"/>
  <c r="L12" s="1"/>
  <c r="N12" s="1"/>
  <c r="K13"/>
  <c r="L13" s="1"/>
  <c r="N13" s="1"/>
  <c r="K14"/>
  <c r="L14" s="1"/>
  <c r="N14" s="1"/>
  <c r="K15"/>
  <c r="L15" s="1"/>
  <c r="N15" s="1"/>
  <c r="K16"/>
  <c r="L16" s="1"/>
  <c r="N16" s="1"/>
  <c r="K17"/>
  <c r="L17" s="1"/>
  <c r="N17" s="1"/>
  <c r="K18"/>
  <c r="L18" s="1"/>
  <c r="N18" s="1"/>
  <c r="K19"/>
  <c r="L19" s="1"/>
  <c r="N19" s="1"/>
  <c r="K20"/>
  <c r="L20" s="1"/>
  <c r="N20" s="1"/>
  <c r="N21"/>
  <c r="G24" l="1"/>
  <c r="N24"/>
</calcChain>
</file>

<file path=xl/sharedStrings.xml><?xml version="1.0" encoding="utf-8"?>
<sst xmlns="http://schemas.openxmlformats.org/spreadsheetml/2006/main" count="16" uniqueCount="16">
  <si>
    <t>dt</t>
  </si>
  <si>
    <t>m</t>
  </si>
  <si>
    <t>g</t>
  </si>
  <si>
    <t>h2</t>
  </si>
  <si>
    <t>v2</t>
  </si>
  <si>
    <t>T2</t>
  </si>
  <si>
    <t>V2</t>
  </si>
  <si>
    <t>L2</t>
  </si>
  <si>
    <t>S2</t>
  </si>
  <si>
    <t>S</t>
  </si>
  <si>
    <t>v[m/s]</t>
  </si>
  <si>
    <t>T[J]</t>
  </si>
  <si>
    <t>V[J]</t>
  </si>
  <si>
    <t>L[J]</t>
  </si>
  <si>
    <t>t[s]</t>
  </si>
  <si>
    <t>height [m]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</si>
</sst>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5"/>
  <c:chart>
    <c:title>
      <c:tx>
        <c:rich>
          <a:bodyPr/>
          <a:lstStyle/>
          <a:p>
            <a:pPr>
              <a:defRPr/>
            </a:pPr>
            <a:r>
              <a:rPr lang="en-US"/>
              <a:t>Falling</a:t>
            </a:r>
            <a:r>
              <a:rPr lang="en-US" baseline="0"/>
              <a:t> baseball</a:t>
            </a:r>
            <a:endParaRPr lang="en-US"/>
          </a:p>
        </c:rich>
      </c:tx>
      <c:layout>
        <c:manualLayout>
          <c:xMode val="edge"/>
          <c:yMode val="edge"/>
          <c:x val="0.38997597131344536"/>
          <c:y val="0"/>
        </c:manualLayout>
      </c:layout>
    </c:title>
    <c:plotArea>
      <c:layout>
        <c:manualLayout>
          <c:layoutTarget val="inner"/>
          <c:xMode val="edge"/>
          <c:yMode val="edge"/>
          <c:x val="0.10122440944881905"/>
          <c:y val="7.4548702245552628E-2"/>
          <c:w val="0.86459492563429574"/>
          <c:h val="0.77904500490481277"/>
        </c:manualLayout>
      </c:layout>
      <c:lineChart>
        <c:grouping val="standard"/>
        <c:ser>
          <c:idx val="0"/>
          <c:order val="0"/>
          <c:marker>
            <c:spPr>
              <a:noFill/>
            </c:spPr>
          </c:marker>
          <c:cat>
            <c:numRef>
              <c:f>Sheet1!$A$2:$A$22</c:f>
              <c:numCache>
                <c:formatCode>General</c:formatCode>
                <c:ptCount val="21"/>
                <c:pt idx="0">
                  <c:v>0</c:v>
                </c:pt>
                <c:pt idx="1">
                  <c:v>0.15</c:v>
                </c:pt>
                <c:pt idx="2">
                  <c:v>0.3</c:v>
                </c:pt>
                <c:pt idx="3">
                  <c:v>0.44999999999999996</c:v>
                </c:pt>
                <c:pt idx="4">
                  <c:v>0.6</c:v>
                </c:pt>
                <c:pt idx="5">
                  <c:v>0.75</c:v>
                </c:pt>
                <c:pt idx="6">
                  <c:v>0.89999999999999991</c:v>
                </c:pt>
                <c:pt idx="7">
                  <c:v>1.05</c:v>
                </c:pt>
                <c:pt idx="8">
                  <c:v>1.2</c:v>
                </c:pt>
                <c:pt idx="9">
                  <c:v>1.3499999999999999</c:v>
                </c:pt>
                <c:pt idx="10">
                  <c:v>1.5</c:v>
                </c:pt>
                <c:pt idx="11">
                  <c:v>1.65</c:v>
                </c:pt>
                <c:pt idx="12">
                  <c:v>1.7999999999999998</c:v>
                </c:pt>
                <c:pt idx="13">
                  <c:v>1.95</c:v>
                </c:pt>
                <c:pt idx="14">
                  <c:v>2.1</c:v>
                </c:pt>
                <c:pt idx="15">
                  <c:v>2.25</c:v>
                </c:pt>
                <c:pt idx="16">
                  <c:v>2.4</c:v>
                </c:pt>
                <c:pt idx="17">
                  <c:v>2.5499999999999998</c:v>
                </c:pt>
                <c:pt idx="18">
                  <c:v>2.6999999999999997</c:v>
                </c:pt>
                <c:pt idx="19">
                  <c:v>2.85</c:v>
                </c:pt>
                <c:pt idx="20">
                  <c:v>3</c:v>
                </c:pt>
              </c:numCache>
            </c:numRef>
          </c:cat>
          <c:val>
            <c:numRef>
              <c:f>Sheet1!$B$2:$B$22</c:f>
              <c:numCache>
                <c:formatCode>General</c:formatCode>
                <c:ptCount val="21"/>
                <c:pt idx="0">
                  <c:v>0</c:v>
                </c:pt>
                <c:pt idx="1">
                  <c:v>0.47233081054687492</c:v>
                </c:pt>
                <c:pt idx="2">
                  <c:v>0.81076547241210917</c:v>
                </c:pt>
                <c:pt idx="3">
                  <c:v>1.0489832611083982</c:v>
                </c:pt>
                <c:pt idx="4">
                  <c:v>1.2139275970458983</c:v>
                </c:pt>
                <c:pt idx="5">
                  <c:v>1.3264183959960933</c:v>
                </c:pt>
                <c:pt idx="6">
                  <c:v>1.4020705947875973</c:v>
                </c:pt>
                <c:pt idx="7">
                  <c:v>1.4522951087951657</c:v>
                </c:pt>
                <c:pt idx="8">
                  <c:v>1.48524259185791</c:v>
                </c:pt>
                <c:pt idx="9">
                  <c:v>1.5066185016632077</c:v>
                </c:pt>
                <c:pt idx="10">
                  <c:v>1.5203453403711316</c:v>
                </c:pt>
                <c:pt idx="11">
                  <c:v>1.5290765653252598</c:v>
                </c:pt>
                <c:pt idx="12">
                  <c:v>1.5345811480879779</c:v>
                </c:pt>
                <c:pt idx="13">
                  <c:v>1.5380228857398028</c:v>
                </c:pt>
                <c:pt idx="14">
                  <c:v>1.5367129371687767</c:v>
                </c:pt>
                <c:pt idx="15">
                  <c:v>1.5190790539048609</c:v>
                </c:pt>
                <c:pt idx="16">
                  <c:v>1.4613138231709597</c:v>
                </c:pt>
                <c:pt idx="17">
                  <c:v>1.327438061473891</c:v>
                </c:pt>
                <c:pt idx="18">
                  <c:v>1.0723596056811511</c:v>
                </c:pt>
                <c:pt idx="19">
                  <c:v>0.6464298028405755</c:v>
                </c:pt>
                <c:pt idx="20">
                  <c:v>0</c:v>
                </c:pt>
              </c:numCache>
            </c:numRef>
          </c:val>
        </c:ser>
        <c:marker val="1"/>
        <c:axId val="134898432"/>
        <c:axId val="134901120"/>
      </c:lineChart>
      <c:catAx>
        <c:axId val="134898432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t[seconds]</a:t>
                </a:r>
              </a:p>
            </c:rich>
          </c:tx>
          <c:layout/>
        </c:title>
        <c:numFmt formatCode="General" sourceLinked="1"/>
        <c:tickLblPos val="nextTo"/>
        <c:crossAx val="134901120"/>
        <c:crosses val="autoZero"/>
        <c:auto val="1"/>
        <c:lblAlgn val="ctr"/>
        <c:lblOffset val="100"/>
      </c:catAx>
      <c:valAx>
        <c:axId val="134901120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height [m]</a:t>
                </a:r>
              </a:p>
            </c:rich>
          </c:tx>
          <c:layout>
            <c:manualLayout>
              <c:xMode val="edge"/>
              <c:yMode val="edge"/>
              <c:x val="0"/>
              <c:y val="0.34418246013926568"/>
            </c:manualLayout>
          </c:layout>
        </c:title>
        <c:numFmt formatCode="General" sourceLinked="1"/>
        <c:tickLblPos val="nextTo"/>
        <c:crossAx val="134898432"/>
        <c:crosses val="autoZero"/>
        <c:crossBetween val="between"/>
      </c:valAx>
    </c:plotArea>
    <c:plotVisOnly val="1"/>
  </c:chart>
  <c:printSettings>
    <c:headerFooter/>
    <c:pageMargins b="0.75000000000000089" l="0.70000000000000062" r="0.70000000000000062" t="0.750000000000000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114300</xdr:colOff>
      <xdr:row>0</xdr:row>
      <xdr:rowOff>47625</xdr:rowOff>
    </xdr:from>
    <xdr:to>
      <xdr:col>14</xdr:col>
      <xdr:colOff>438149</xdr:colOff>
      <xdr:row>21</xdr:row>
      <xdr:rowOff>2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29"/>
  <sheetViews>
    <sheetView tabSelected="1" workbookViewId="0">
      <selection activeCell="D11" sqref="D11"/>
    </sheetView>
  </sheetViews>
  <sheetFormatPr defaultRowHeight="15"/>
  <cols>
    <col min="2" max="2" width="9.7109375" customWidth="1"/>
    <col min="9" max="9" width="12" bestFit="1" customWidth="1"/>
  </cols>
  <sheetData>
    <row r="1" spans="1:14">
      <c r="A1" t="s">
        <v>14</v>
      </c>
      <c r="B1" s="1" t="s">
        <v>15</v>
      </c>
      <c r="D1" t="s">
        <v>10</v>
      </c>
      <c r="E1" t="s">
        <v>11</v>
      </c>
      <c r="F1" t="s">
        <v>12</v>
      </c>
      <c r="G1" t="s">
        <v>13</v>
      </c>
      <c r="I1" t="s">
        <v>3</v>
      </c>
      <c r="K1" t="s">
        <v>4</v>
      </c>
      <c r="L1" t="s">
        <v>5</v>
      </c>
      <c r="M1" t="s">
        <v>6</v>
      </c>
      <c r="N1" t="s">
        <v>7</v>
      </c>
    </row>
    <row r="2" spans="1:14">
      <c r="A2">
        <v>0</v>
      </c>
      <c r="B2" s="1">
        <v>0</v>
      </c>
      <c r="D2">
        <f t="shared" ref="D2:D21" si="0">(B3-B2)/$D$29</f>
        <v>3.1488720703124997</v>
      </c>
      <c r="E2">
        <f t="shared" ref="E2:E21" si="1">0.5*$E$29*D2^2</f>
        <v>0.99153953151941288</v>
      </c>
      <c r="F2">
        <f>$E$29*$F$29*0.5*(B2+B3)</f>
        <v>0.46288419433593747</v>
      </c>
      <c r="G2">
        <f>(E2-F2)*$D$29</f>
        <v>7.9298300577521311E-2</v>
      </c>
      <c r="I2">
        <v>0</v>
      </c>
      <c r="K2">
        <f t="shared" ref="K2:K21" si="2">(I3-I2)/$D$29</f>
        <v>3.1488720703124997</v>
      </c>
      <c r="L2">
        <f t="shared" ref="L2:L21" si="3">0.5*$E$29*K2^2</f>
        <v>0.99153953151941288</v>
      </c>
      <c r="M2">
        <f>$E$29*$F$29*0.5*(I2+I3)</f>
        <v>0.46288419433593747</v>
      </c>
      <c r="N2">
        <f>(L2-M2)*$D$29</f>
        <v>7.9298300577521311E-2</v>
      </c>
    </row>
    <row r="3" spans="1:14">
      <c r="A3">
        <v>0.15</v>
      </c>
      <c r="B3" s="1">
        <v>0.47233081054687492</v>
      </c>
      <c r="D3">
        <f t="shared" si="0"/>
        <v>2.2562310791015618</v>
      </c>
      <c r="E3">
        <f t="shared" si="1"/>
        <v>0.5090578682303798</v>
      </c>
      <c r="F3">
        <f t="shared" ref="F3:F21" si="4">$E$29*$F$29*0.5*(B3+B4)</f>
        <v>1.2574343572998046</v>
      </c>
      <c r="G3">
        <f t="shared" ref="G3:G21" si="5">(E3-F3)*$D$29</f>
        <v>-0.11225647336041371</v>
      </c>
      <c r="I3">
        <v>0.47233081054687492</v>
      </c>
      <c r="K3">
        <f t="shared" si="2"/>
        <v>2.2562310791015618</v>
      </c>
      <c r="L3">
        <f t="shared" si="3"/>
        <v>0.5090578682303798</v>
      </c>
      <c r="M3">
        <f t="shared" ref="M3:M21" si="6">$E$29*$F$29*0.5*(I3+I4)</f>
        <v>1.2574343572998046</v>
      </c>
      <c r="N3">
        <f t="shared" ref="N3:N21" si="7">(L3-M3)*$D$29</f>
        <v>-0.11225647336041371</v>
      </c>
    </row>
    <row r="4" spans="1:14">
      <c r="A4">
        <v>0.3</v>
      </c>
      <c r="B4" s="1">
        <v>0.81076547241210917</v>
      </c>
      <c r="D4">
        <f t="shared" si="0"/>
        <v>1.5881185913085938</v>
      </c>
      <c r="E4">
        <f t="shared" si="1"/>
        <v>0.25221206600599921</v>
      </c>
      <c r="F4">
        <f t="shared" si="4"/>
        <v>1.8225537588500975</v>
      </c>
      <c r="G4">
        <f t="shared" si="5"/>
        <v>-0.23555125392661475</v>
      </c>
      <c r="I4">
        <v>0.81076547241210917</v>
      </c>
      <c r="K4">
        <f t="shared" si="2"/>
        <v>1.5881185913085938</v>
      </c>
      <c r="L4">
        <f t="shared" si="3"/>
        <v>0.25221206600599921</v>
      </c>
      <c r="M4">
        <f t="shared" si="6"/>
        <v>1.8225537588500975</v>
      </c>
      <c r="N4">
        <f t="shared" si="7"/>
        <v>-0.23555125392661475</v>
      </c>
    </row>
    <row r="5" spans="1:14">
      <c r="A5">
        <v>0.44999999999999996</v>
      </c>
      <c r="B5" s="1">
        <v>1.0489832611083982</v>
      </c>
      <c r="D5">
        <f t="shared" si="0"/>
        <v>1.0996289062500002</v>
      </c>
      <c r="E5">
        <f t="shared" si="1"/>
        <v>0.12091837314605719</v>
      </c>
      <c r="F5">
        <f t="shared" si="4"/>
        <v>2.217652640991211</v>
      </c>
      <c r="G5">
        <f t="shared" si="5"/>
        <v>-0.31451014017677303</v>
      </c>
      <c r="I5">
        <v>1.0489832611083982</v>
      </c>
      <c r="K5">
        <f t="shared" si="2"/>
        <v>1.0996289062500002</v>
      </c>
      <c r="L5">
        <f t="shared" si="3"/>
        <v>0.12091837314605719</v>
      </c>
      <c r="M5">
        <f t="shared" si="6"/>
        <v>2.217652640991211</v>
      </c>
      <c r="N5">
        <f t="shared" si="7"/>
        <v>-0.31451014017677303</v>
      </c>
    </row>
    <row r="6" spans="1:14">
      <c r="A6">
        <v>0.6</v>
      </c>
      <c r="B6" s="1">
        <v>1.2139275970458983</v>
      </c>
      <c r="D6">
        <f t="shared" si="0"/>
        <v>0.74993865966796736</v>
      </c>
      <c r="E6">
        <f t="shared" si="1"/>
        <v>5.6240799326458736E-2</v>
      </c>
      <c r="F6">
        <f t="shared" si="4"/>
        <v>2.489539073181152</v>
      </c>
      <c r="G6">
        <f t="shared" si="5"/>
        <v>-0.36499474107820401</v>
      </c>
      <c r="I6">
        <v>1.2139275970458983</v>
      </c>
      <c r="K6">
        <f t="shared" si="2"/>
        <v>0.74993865966796736</v>
      </c>
      <c r="L6">
        <f t="shared" si="3"/>
        <v>5.6240799326458736E-2</v>
      </c>
      <c r="M6">
        <f t="shared" si="6"/>
        <v>2.489539073181152</v>
      </c>
      <c r="N6">
        <f t="shared" si="7"/>
        <v>-0.36499474107820401</v>
      </c>
    </row>
    <row r="7" spans="1:14">
      <c r="A7">
        <v>0.75</v>
      </c>
      <c r="B7" s="1">
        <v>1.3264183959960933</v>
      </c>
      <c r="D7">
        <f t="shared" si="0"/>
        <v>0.50434799194335989</v>
      </c>
      <c r="E7">
        <f t="shared" si="1"/>
        <v>2.5436689697729942E-2</v>
      </c>
      <c r="F7">
        <f t="shared" si="4"/>
        <v>2.673919210968017</v>
      </c>
      <c r="G7">
        <f t="shared" si="5"/>
        <v>-0.39727237819054301</v>
      </c>
      <c r="I7">
        <v>1.3264183959960933</v>
      </c>
      <c r="K7">
        <f t="shared" si="2"/>
        <v>0.50434799194335989</v>
      </c>
      <c r="L7">
        <f t="shared" si="3"/>
        <v>2.5436689697729942E-2</v>
      </c>
      <c r="M7">
        <f t="shared" si="6"/>
        <v>2.673919210968017</v>
      </c>
      <c r="N7">
        <f t="shared" si="7"/>
        <v>-0.39727237819054301</v>
      </c>
    </row>
    <row r="8" spans="1:14">
      <c r="A8">
        <v>0.89999999999999991</v>
      </c>
      <c r="B8" s="1">
        <v>1.4020705947875973</v>
      </c>
      <c r="D8">
        <f t="shared" si="0"/>
        <v>0.33483009338378888</v>
      </c>
      <c r="E8">
        <f t="shared" si="1"/>
        <v>1.1211119143539679E-2</v>
      </c>
      <c r="F8">
        <f t="shared" si="4"/>
        <v>2.7972783895111082</v>
      </c>
      <c r="G8">
        <f t="shared" si="5"/>
        <v>-0.41791009055513523</v>
      </c>
      <c r="I8">
        <v>1.4020705947875973</v>
      </c>
      <c r="K8">
        <f t="shared" si="2"/>
        <v>0.33483009338378888</v>
      </c>
      <c r="L8">
        <f t="shared" si="3"/>
        <v>1.1211119143539679E-2</v>
      </c>
      <c r="M8">
        <f t="shared" si="6"/>
        <v>2.7972783895111082</v>
      </c>
      <c r="N8">
        <f t="shared" si="7"/>
        <v>-0.41791009055513523</v>
      </c>
    </row>
    <row r="9" spans="1:14">
      <c r="A9">
        <v>1.05</v>
      </c>
      <c r="B9" s="1">
        <v>1.4522951087951657</v>
      </c>
      <c r="D9">
        <f t="shared" si="0"/>
        <v>0.21964988708496208</v>
      </c>
      <c r="E9">
        <f t="shared" si="1"/>
        <v>4.8246072896436596E-3</v>
      </c>
      <c r="F9">
        <f t="shared" si="4"/>
        <v>2.8787869466400147</v>
      </c>
      <c r="G9">
        <f t="shared" si="5"/>
        <v>-0.43109435090255566</v>
      </c>
      <c r="I9">
        <v>1.4522951087951657</v>
      </c>
      <c r="K9">
        <f t="shared" si="2"/>
        <v>0.21964988708496208</v>
      </c>
      <c r="L9">
        <f t="shared" si="3"/>
        <v>4.8246072896436596E-3</v>
      </c>
      <c r="M9">
        <f t="shared" si="6"/>
        <v>2.8787869466400147</v>
      </c>
      <c r="N9">
        <f t="shared" si="7"/>
        <v>-0.43109435090255566</v>
      </c>
    </row>
    <row r="10" spans="1:14">
      <c r="A10">
        <v>1.2</v>
      </c>
      <c r="B10" s="1">
        <v>1.48524259185791</v>
      </c>
      <c r="D10">
        <f t="shared" si="0"/>
        <v>0.14250606536865126</v>
      </c>
      <c r="E10">
        <f t="shared" si="1"/>
        <v>2.0307978666854304E-3</v>
      </c>
      <c r="F10">
        <f t="shared" si="4"/>
        <v>2.9320238716506957</v>
      </c>
      <c r="G10">
        <f t="shared" si="5"/>
        <v>-0.4394989610676015</v>
      </c>
      <c r="I10">
        <v>1.48524259185791</v>
      </c>
      <c r="K10">
        <f t="shared" si="2"/>
        <v>0.14250606536865126</v>
      </c>
      <c r="L10">
        <f t="shared" si="3"/>
        <v>2.0307978666854304E-3</v>
      </c>
      <c r="M10">
        <f t="shared" si="6"/>
        <v>2.9320238716506957</v>
      </c>
      <c r="N10">
        <f t="shared" si="7"/>
        <v>-0.4394989610676015</v>
      </c>
    </row>
    <row r="11" spans="1:14">
      <c r="A11">
        <v>1.3499999999999999</v>
      </c>
      <c r="B11" s="1">
        <v>1.5066185016632077</v>
      </c>
      <c r="D11">
        <f t="shared" si="0"/>
        <v>9.1512258052826034E-2</v>
      </c>
      <c r="E11">
        <f t="shared" si="1"/>
        <v>8.3744933739270241E-4</v>
      </c>
      <c r="F11">
        <f t="shared" si="4"/>
        <v>2.9664245651936527</v>
      </c>
      <c r="G11">
        <f t="shared" si="5"/>
        <v>-0.44483806737843895</v>
      </c>
      <c r="I11">
        <v>1.5066185016632077</v>
      </c>
      <c r="K11">
        <f t="shared" si="2"/>
        <v>9.1512258052826034E-2</v>
      </c>
      <c r="L11">
        <f t="shared" si="3"/>
        <v>8.3744933739270241E-4</v>
      </c>
      <c r="M11">
        <f t="shared" si="6"/>
        <v>2.9664245651936527</v>
      </c>
      <c r="N11">
        <f t="shared" si="7"/>
        <v>-0.44483806737843895</v>
      </c>
    </row>
    <row r="12" spans="1:14">
      <c r="A12">
        <v>1.5</v>
      </c>
      <c r="B12" s="1">
        <v>1.5203453403711316</v>
      </c>
      <c r="D12">
        <f t="shared" si="0"/>
        <v>5.820816636085506E-2</v>
      </c>
      <c r="E12">
        <f t="shared" si="1"/>
        <v>3.3881906310929792E-4</v>
      </c>
      <c r="F12">
        <f t="shared" si="4"/>
        <v>2.988433467582464</v>
      </c>
      <c r="G12">
        <f t="shared" si="5"/>
        <v>-0.44821419727790318</v>
      </c>
      <c r="I12">
        <v>1.5203453403711316</v>
      </c>
      <c r="K12">
        <f t="shared" si="2"/>
        <v>5.820816636085506E-2</v>
      </c>
      <c r="L12">
        <f t="shared" si="3"/>
        <v>3.3881906310929792E-4</v>
      </c>
      <c r="M12">
        <f t="shared" si="6"/>
        <v>2.988433467582464</v>
      </c>
      <c r="N12">
        <f t="shared" si="7"/>
        <v>-0.44821419727790318</v>
      </c>
    </row>
    <row r="13" spans="1:14">
      <c r="A13">
        <v>1.65</v>
      </c>
      <c r="B13" s="1">
        <v>1.5290765653252598</v>
      </c>
      <c r="D13">
        <f t="shared" si="0"/>
        <v>3.6697218418120237E-2</v>
      </c>
      <c r="E13">
        <f t="shared" si="1"/>
        <v>1.3466858396272231E-4</v>
      </c>
      <c r="F13">
        <f t="shared" si="4"/>
        <v>3.0023845591449736</v>
      </c>
      <c r="G13">
        <f t="shared" si="5"/>
        <v>-0.4503374835841516</v>
      </c>
      <c r="I13">
        <v>1.5290765653252598</v>
      </c>
      <c r="K13">
        <f t="shared" si="2"/>
        <v>3.6697218418120237E-2</v>
      </c>
      <c r="L13">
        <f t="shared" si="3"/>
        <v>1.3466858396272231E-4</v>
      </c>
      <c r="M13">
        <f t="shared" si="6"/>
        <v>3.0023845591449736</v>
      </c>
      <c r="N13">
        <f t="shared" si="7"/>
        <v>-0.4503374835841516</v>
      </c>
    </row>
    <row r="14" spans="1:14">
      <c r="A14">
        <v>1.7999999999999998</v>
      </c>
      <c r="B14" s="1">
        <v>1.5345811480879779</v>
      </c>
      <c r="D14">
        <f t="shared" si="0"/>
        <v>2.2944917678833221E-2</v>
      </c>
      <c r="E14">
        <f t="shared" si="1"/>
        <v>5.2646924728843335E-5</v>
      </c>
      <c r="F14">
        <f t="shared" si="4"/>
        <v>3.0111519531512254</v>
      </c>
      <c r="G14">
        <f t="shared" si="5"/>
        <v>-0.45166489593397441</v>
      </c>
      <c r="I14">
        <v>1.5345811480879779</v>
      </c>
      <c r="K14">
        <f t="shared" si="2"/>
        <v>2.2944917678833221E-2</v>
      </c>
      <c r="L14">
        <f t="shared" si="3"/>
        <v>5.2646924728843335E-5</v>
      </c>
      <c r="M14">
        <f t="shared" si="6"/>
        <v>3.0111519531512254</v>
      </c>
      <c r="N14">
        <f t="shared" si="7"/>
        <v>-0.45166489593397441</v>
      </c>
    </row>
    <row r="15" spans="1:14">
      <c r="A15">
        <v>1.95</v>
      </c>
      <c r="B15" s="1">
        <v>1.5380228857398028</v>
      </c>
      <c r="D15">
        <f t="shared" si="0"/>
        <v>-8.7329904735078401E-3</v>
      </c>
      <c r="E15">
        <f t="shared" si="1"/>
        <v>7.6265122610378701E-6</v>
      </c>
      <c r="F15">
        <f t="shared" si="4"/>
        <v>3.0132411064504083</v>
      </c>
      <c r="G15">
        <f t="shared" si="5"/>
        <v>-0.4519850219907221</v>
      </c>
      <c r="I15">
        <v>1.5380228857398028</v>
      </c>
      <c r="K15">
        <f t="shared" si="2"/>
        <v>-8.7329904735078401E-3</v>
      </c>
      <c r="L15">
        <f t="shared" si="3"/>
        <v>7.6265122610378701E-6</v>
      </c>
      <c r="M15">
        <f t="shared" si="6"/>
        <v>3.0132411064504083</v>
      </c>
      <c r="N15">
        <f t="shared" si="7"/>
        <v>-0.4519850219907221</v>
      </c>
    </row>
    <row r="16" spans="1:14">
      <c r="A16">
        <v>2.1</v>
      </c>
      <c r="B16" s="1">
        <v>1.5367129371687767</v>
      </c>
      <c r="D16">
        <f t="shared" si="0"/>
        <v>-0.11755922175943864</v>
      </c>
      <c r="E16">
        <f t="shared" si="1"/>
        <v>1.3820170620684872E-3</v>
      </c>
      <c r="F16">
        <f t="shared" si="4"/>
        <v>2.9946761512521651</v>
      </c>
      <c r="G16">
        <f t="shared" si="5"/>
        <v>-0.44899412012851447</v>
      </c>
      <c r="I16">
        <v>1.5367129371687767</v>
      </c>
      <c r="K16">
        <f t="shared" si="2"/>
        <v>-0.11755922175943864</v>
      </c>
      <c r="L16">
        <f t="shared" si="3"/>
        <v>1.3820170620684872E-3</v>
      </c>
      <c r="M16">
        <f t="shared" si="6"/>
        <v>2.9946761512521651</v>
      </c>
      <c r="N16">
        <f t="shared" si="7"/>
        <v>-0.44899412012851447</v>
      </c>
    </row>
    <row r="17" spans="1:14">
      <c r="A17">
        <v>2.25</v>
      </c>
      <c r="B17" s="1">
        <v>1.5190790539048609</v>
      </c>
      <c r="D17">
        <f t="shared" si="0"/>
        <v>-0.38510153822600779</v>
      </c>
      <c r="E17">
        <f t="shared" si="1"/>
        <v>1.4830319474403733E-2</v>
      </c>
      <c r="F17">
        <f t="shared" si="4"/>
        <v>2.9207850195343044</v>
      </c>
      <c r="G17">
        <f t="shared" si="5"/>
        <v>-0.4358932050089851</v>
      </c>
      <c r="I17">
        <v>1.5190790539048609</v>
      </c>
      <c r="K17">
        <f t="shared" si="2"/>
        <v>-0.38510153822600779</v>
      </c>
      <c r="L17">
        <f t="shared" si="3"/>
        <v>1.4830319474403733E-2</v>
      </c>
      <c r="M17">
        <f t="shared" si="6"/>
        <v>2.9207850195343044</v>
      </c>
      <c r="N17">
        <f t="shared" si="7"/>
        <v>-0.4358932050089851</v>
      </c>
    </row>
    <row r="18" spans="1:14">
      <c r="A18">
        <v>2.4</v>
      </c>
      <c r="B18" s="1">
        <v>1.4613138231709597</v>
      </c>
      <c r="D18">
        <f t="shared" si="0"/>
        <v>-0.89250507798045819</v>
      </c>
      <c r="E18">
        <f t="shared" si="1"/>
        <v>7.9656531422090379E-2</v>
      </c>
      <c r="F18">
        <f t="shared" si="4"/>
        <v>2.7329768469519538</v>
      </c>
      <c r="G18">
        <f t="shared" si="5"/>
        <v>-0.39799804732947952</v>
      </c>
      <c r="I18">
        <v>1.4613138231709597</v>
      </c>
      <c r="K18">
        <f t="shared" si="2"/>
        <v>-0.89250507798045819</v>
      </c>
      <c r="L18">
        <f t="shared" si="3"/>
        <v>7.9656531422090379E-2</v>
      </c>
      <c r="M18">
        <f t="shared" si="6"/>
        <v>2.7329768469519538</v>
      </c>
      <c r="N18">
        <f t="shared" si="7"/>
        <v>-0.39799804732947952</v>
      </c>
    </row>
    <row r="19" spans="1:14">
      <c r="A19">
        <v>2.5499999999999998</v>
      </c>
      <c r="B19" s="1">
        <v>1.327438061473891</v>
      </c>
      <c r="D19">
        <f t="shared" si="0"/>
        <v>-1.7005230386182661</v>
      </c>
      <c r="E19">
        <f t="shared" si="1"/>
        <v>0.28917786048715016</v>
      </c>
      <c r="F19">
        <f t="shared" si="4"/>
        <v>2.3518017138119411</v>
      </c>
      <c r="G19">
        <f t="shared" si="5"/>
        <v>-0.30939357799871864</v>
      </c>
      <c r="I19">
        <v>1.327438061473891</v>
      </c>
      <c r="K19">
        <f t="shared" si="2"/>
        <v>-1.7005230386182661</v>
      </c>
      <c r="L19">
        <f t="shared" si="3"/>
        <v>0.28917786048715016</v>
      </c>
      <c r="M19">
        <f t="shared" si="6"/>
        <v>2.3518017138119411</v>
      </c>
      <c r="N19">
        <f t="shared" si="7"/>
        <v>-0.30939357799871864</v>
      </c>
    </row>
    <row r="20" spans="1:14">
      <c r="A20">
        <v>2.6999999999999997</v>
      </c>
      <c r="B20" s="1">
        <v>1.0723596056811511</v>
      </c>
      <c r="D20">
        <f t="shared" si="0"/>
        <v>-2.8395320189371707</v>
      </c>
      <c r="E20">
        <f t="shared" si="1"/>
        <v>0.80629420865694046</v>
      </c>
      <c r="F20">
        <f t="shared" si="4"/>
        <v>1.6844136203512923</v>
      </c>
      <c r="G20">
        <f t="shared" si="5"/>
        <v>-0.13171791175415276</v>
      </c>
      <c r="I20">
        <v>1.0723596056811511</v>
      </c>
      <c r="K20">
        <f t="shared" si="2"/>
        <v>-2.8395320189371707</v>
      </c>
      <c r="L20">
        <f t="shared" si="3"/>
        <v>0.80629420865694046</v>
      </c>
      <c r="M20">
        <f t="shared" si="6"/>
        <v>1.6844136203512923</v>
      </c>
      <c r="N20">
        <f t="shared" si="7"/>
        <v>-0.13171791175415276</v>
      </c>
    </row>
    <row r="21" spans="1:14">
      <c r="A21">
        <v>2.85</v>
      </c>
      <c r="B21" s="1">
        <v>0.6464298028405755</v>
      </c>
      <c r="D21">
        <f t="shared" si="0"/>
        <v>-4.30953201893717</v>
      </c>
      <c r="E21">
        <f t="shared" si="1"/>
        <v>1.8572066222244681</v>
      </c>
      <c r="F21">
        <f t="shared" si="4"/>
        <v>0.63350120678376409</v>
      </c>
      <c r="G21">
        <f t="shared" si="5"/>
        <v>0.18355581231610557</v>
      </c>
      <c r="I21">
        <v>0.6464298028405755</v>
      </c>
      <c r="K21">
        <f t="shared" si="2"/>
        <v>-4.30953201893717</v>
      </c>
      <c r="L21">
        <f t="shared" si="3"/>
        <v>1.8572066222244681</v>
      </c>
      <c r="M21">
        <f t="shared" si="6"/>
        <v>0.63350120678376409</v>
      </c>
      <c r="N21">
        <f t="shared" si="7"/>
        <v>0.18355581231610557</v>
      </c>
    </row>
    <row r="22" spans="1:14">
      <c r="A22">
        <v>3</v>
      </c>
      <c r="B22" s="1">
        <v>0</v>
      </c>
      <c r="I22">
        <v>0</v>
      </c>
    </row>
    <row r="24" spans="1:14">
      <c r="F24" t="s">
        <v>9</v>
      </c>
      <c r="G24">
        <f>SUM(G1:G21)</f>
        <v>-6.4212708047492537</v>
      </c>
      <c r="M24" t="s">
        <v>8</v>
      </c>
      <c r="N24">
        <f>SUM(N1:N21)</f>
        <v>-6.4212708047492537</v>
      </c>
    </row>
    <row r="28" spans="1:14">
      <c r="D28" t="s">
        <v>0</v>
      </c>
      <c r="E28" t="s">
        <v>1</v>
      </c>
      <c r="F28" t="s">
        <v>2</v>
      </c>
    </row>
    <row r="29" spans="1:14">
      <c r="D29">
        <f>3/20</f>
        <v>0.15</v>
      </c>
      <c r="E29">
        <v>0.2</v>
      </c>
      <c r="F29">
        <v>9.8000000000000007</v>
      </c>
    </row>
  </sheetData>
  <pageMargins left="0.7" right="0.7" top="0.75" bottom="0.75" header="0.3" footer="0.3"/>
  <pageSetup orientation="portrait" r:id="rId1"/>
  <drawing r:id="rId2"/>
  <legacyDrawing r:id="rId3"/>
  <controls>
    <control shapeId="1028" r:id="rId4" name="CommandButton6"/>
    <control shapeId="1027" r:id="rId5" name="CommandButton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2016-12-28T23:56:37Z</dcterms:modified>
</cp:coreProperties>
</file>