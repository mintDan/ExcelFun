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D13" i="1"/>
  <c r="M21" l="1"/>
  <c r="M20"/>
  <c r="M19"/>
  <c r="M18"/>
  <c r="M17"/>
  <c r="M16"/>
  <c r="M15"/>
  <c r="M14"/>
  <c r="M13"/>
  <c r="M12"/>
  <c r="M11"/>
  <c r="M10"/>
  <c r="M9"/>
  <c r="M8"/>
  <c r="M7"/>
  <c r="M6"/>
  <c r="M5"/>
  <c r="M4"/>
  <c r="M3"/>
  <c r="M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D29"/>
  <c r="K21" s="1"/>
  <c r="L21" s="1"/>
  <c r="D2" l="1"/>
  <c r="E2" s="1"/>
  <c r="G2" s="1"/>
  <c r="D3"/>
  <c r="E3" s="1"/>
  <c r="G3" s="1"/>
  <c r="D4"/>
  <c r="E4" s="1"/>
  <c r="G4" s="1"/>
  <c r="D5"/>
  <c r="E5" s="1"/>
  <c r="G5" s="1"/>
  <c r="D6"/>
  <c r="E6" s="1"/>
  <c r="G6" s="1"/>
  <c r="D7"/>
  <c r="E7" s="1"/>
  <c r="G7" s="1"/>
  <c r="D8"/>
  <c r="E8" s="1"/>
  <c r="G8" s="1"/>
  <c r="D9"/>
  <c r="E9" s="1"/>
  <c r="G9" s="1"/>
  <c r="D10"/>
  <c r="E10" s="1"/>
  <c r="G10" s="1"/>
  <c r="D11"/>
  <c r="E11" s="1"/>
  <c r="G11" s="1"/>
  <c r="D12"/>
  <c r="E12" s="1"/>
  <c r="G12" s="1"/>
  <c r="E13"/>
  <c r="G13" s="1"/>
  <c r="D14"/>
  <c r="E14" s="1"/>
  <c r="G14" s="1"/>
  <c r="D15"/>
  <c r="E15" s="1"/>
  <c r="G15" s="1"/>
  <c r="D16"/>
  <c r="E16" s="1"/>
  <c r="G16" s="1"/>
  <c r="D17"/>
  <c r="E17" s="1"/>
  <c r="G17" s="1"/>
  <c r="D18"/>
  <c r="E18" s="1"/>
  <c r="G18" s="1"/>
  <c r="D19"/>
  <c r="E19" s="1"/>
  <c r="G19" s="1"/>
  <c r="D20"/>
  <c r="E20" s="1"/>
  <c r="G20" s="1"/>
  <c r="D21"/>
  <c r="E21" s="1"/>
  <c r="G21" s="1"/>
  <c r="K2"/>
  <c r="L2" s="1"/>
  <c r="N2" s="1"/>
  <c r="K3"/>
  <c r="L3" s="1"/>
  <c r="N3" s="1"/>
  <c r="K4"/>
  <c r="L4" s="1"/>
  <c r="N4" s="1"/>
  <c r="K5"/>
  <c r="L5" s="1"/>
  <c r="N5" s="1"/>
  <c r="K6"/>
  <c r="L6" s="1"/>
  <c r="N6" s="1"/>
  <c r="K7"/>
  <c r="L7" s="1"/>
  <c r="N7" s="1"/>
  <c r="K8"/>
  <c r="L8" s="1"/>
  <c r="N8" s="1"/>
  <c r="K9"/>
  <c r="L9" s="1"/>
  <c r="N9" s="1"/>
  <c r="K10"/>
  <c r="L10" s="1"/>
  <c r="N10" s="1"/>
  <c r="K11"/>
  <c r="L11" s="1"/>
  <c r="N11" s="1"/>
  <c r="K12"/>
  <c r="L12" s="1"/>
  <c r="N12" s="1"/>
  <c r="K13"/>
  <c r="L13" s="1"/>
  <c r="N13" s="1"/>
  <c r="K14"/>
  <c r="L14" s="1"/>
  <c r="N14" s="1"/>
  <c r="K15"/>
  <c r="L15" s="1"/>
  <c r="N15" s="1"/>
  <c r="K16"/>
  <c r="L16" s="1"/>
  <c r="N16" s="1"/>
  <c r="K17"/>
  <c r="L17" s="1"/>
  <c r="N17" s="1"/>
  <c r="K18"/>
  <c r="L18" s="1"/>
  <c r="N18" s="1"/>
  <c r="K19"/>
  <c r="L19" s="1"/>
  <c r="N19" s="1"/>
  <c r="K20"/>
  <c r="L20" s="1"/>
  <c r="N20" s="1"/>
  <c r="N21"/>
  <c r="G24" l="1"/>
  <c r="N24"/>
</calcChain>
</file>

<file path=xl/sharedStrings.xml><?xml version="1.0" encoding="utf-8"?>
<sst xmlns="http://schemas.openxmlformats.org/spreadsheetml/2006/main" count="17" uniqueCount="17">
  <si>
    <t>dt</t>
  </si>
  <si>
    <t>m</t>
  </si>
  <si>
    <t>g</t>
  </si>
  <si>
    <t>h2</t>
  </si>
  <si>
    <t>v2</t>
  </si>
  <si>
    <t>T2</t>
  </si>
  <si>
    <t>V2</t>
  </si>
  <si>
    <t>L2</t>
  </si>
  <si>
    <t>S2</t>
  </si>
  <si>
    <t>sodapoppin får 1000 dropped frames på 30 minutes ca?</t>
  </si>
  <si>
    <t>S</t>
  </si>
  <si>
    <t>h[m]</t>
  </si>
  <si>
    <t>v[m/s]</t>
  </si>
  <si>
    <t>T[J]</t>
  </si>
  <si>
    <t>V[J]</t>
  </si>
  <si>
    <t>L[J]</t>
  </si>
  <si>
    <t>t[s]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</si>
</sst>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5"/>
  <c:chart>
    <c:title>
      <c:tx>
        <c:rich>
          <a:bodyPr/>
          <a:lstStyle/>
          <a:p>
            <a:pPr>
              <a:defRPr/>
            </a:pPr>
            <a:r>
              <a:rPr lang="en-US"/>
              <a:t>Height</a:t>
            </a:r>
            <a:r>
              <a:rPr lang="en-US" baseline="0"/>
              <a:t> vs time curve</a:t>
            </a:r>
            <a:endParaRPr lang="en-US"/>
          </a:p>
        </c:rich>
      </c:tx>
      <c:layout>
        <c:manualLayout>
          <c:xMode val="edge"/>
          <c:yMode val="edge"/>
          <c:x val="0.25047222222222221"/>
          <c:y val="0"/>
        </c:manualLayout>
      </c:layout>
    </c:title>
    <c:plotArea>
      <c:layout>
        <c:manualLayout>
          <c:layoutTarget val="inner"/>
          <c:xMode val="edge"/>
          <c:yMode val="edge"/>
          <c:x val="0.10122440944881893"/>
          <c:y val="7.4548702245552628E-2"/>
          <c:w val="0.86459492563429574"/>
          <c:h val="0.77904500490481188"/>
        </c:manualLayout>
      </c:layout>
      <c:lineChart>
        <c:grouping val="standard"/>
        <c:ser>
          <c:idx val="0"/>
          <c:order val="0"/>
          <c:marker>
            <c:spPr>
              <a:noFill/>
            </c:spPr>
          </c:marker>
          <c:cat>
            <c:numRef>
              <c:f>Sheet1!$A$2:$A$22</c:f>
              <c:numCache>
                <c:formatCode>General</c:formatCode>
                <c:ptCount val="2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0.89999999999999991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1.5</c:v>
                </c:pt>
                <c:pt idx="11">
                  <c:v>1.65</c:v>
                </c:pt>
                <c:pt idx="12">
                  <c:v>1.7999999999999998</c:v>
                </c:pt>
                <c:pt idx="13">
                  <c:v>1.95</c:v>
                </c:pt>
                <c:pt idx="14">
                  <c:v>2.1</c:v>
                </c:pt>
                <c:pt idx="15">
                  <c:v>2.25</c:v>
                </c:pt>
                <c:pt idx="16">
                  <c:v>2.4</c:v>
                </c:pt>
                <c:pt idx="17">
                  <c:v>2.5499999999999998</c:v>
                </c:pt>
                <c:pt idx="18">
                  <c:v>2.6999999999999997</c:v>
                </c:pt>
                <c:pt idx="19">
                  <c:v>2.85</c:v>
                </c:pt>
                <c:pt idx="20">
                  <c:v>3</c:v>
                </c:pt>
              </c:numCache>
            </c:numRef>
          </c:cat>
          <c:val>
            <c:numRef>
              <c:f>Sheet1!$B$2:$B$22</c:f>
              <c:numCache>
                <c:formatCode>General</c:formatCode>
                <c:ptCount val="21"/>
                <c:pt idx="0">
                  <c:v>0</c:v>
                </c:pt>
                <c:pt idx="1">
                  <c:v>1.5438438994052381</c:v>
                </c:pt>
                <c:pt idx="2">
                  <c:v>2.8938756215350638</c:v>
                </c:pt>
                <c:pt idx="3">
                  <c:v>4.0621850248081772</c:v>
                </c:pt>
                <c:pt idx="4">
                  <c:v>5.0596595247437346</c:v>
                </c:pt>
                <c:pt idx="5">
                  <c:v>5.8957472567660334</c:v>
                </c:pt>
                <c:pt idx="6">
                  <c:v>6.5782571957151221</c:v>
                </c:pt>
                <c:pt idx="7">
                  <c:v>7.113200951889902</c:v>
                </c:pt>
                <c:pt idx="8">
                  <c:v>7.5046800829969849</c:v>
                </c:pt>
                <c:pt idx="9">
                  <c:v>7.7548216923602489</c:v>
                </c:pt>
                <c:pt idx="10">
                  <c:v>7.8637638522723039</c:v>
                </c:pt>
                <c:pt idx="11">
                  <c:v>7.8296910393829453</c:v>
                </c:pt>
                <c:pt idx="12">
                  <c:v>7.6489183512468939</c:v>
                </c:pt>
                <c:pt idx="13">
                  <c:v>7.3160218527022884</c:v>
                </c:pt>
                <c:pt idx="14">
                  <c:v>6.8240110439038109</c:v>
                </c:pt>
                <c:pt idx="15">
                  <c:v>6.1645382126387629</c:v>
                </c:pt>
                <c:pt idx="16">
                  <c:v>5.3281383888200224</c:v>
                </c:pt>
                <c:pt idx="17">
                  <c:v>4.3044928042389374</c:v>
                </c:pt>
                <c:pt idx="18">
                  <c:v>3.0827082070339324</c:v>
                </c:pt>
                <c:pt idx="19">
                  <c:v>1.6516041035169662</c:v>
                </c:pt>
                <c:pt idx="20">
                  <c:v>0</c:v>
                </c:pt>
              </c:numCache>
            </c:numRef>
          </c:val>
        </c:ser>
        <c:marker val="1"/>
        <c:axId val="130618496"/>
        <c:axId val="130625536"/>
      </c:lineChart>
      <c:catAx>
        <c:axId val="1306184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t[seconds]</a:t>
                </a:r>
              </a:p>
            </c:rich>
          </c:tx>
          <c:layout/>
        </c:title>
        <c:numFmt formatCode="General" sourceLinked="1"/>
        <c:tickLblPos val="nextTo"/>
        <c:crossAx val="130625536"/>
        <c:crosses val="autoZero"/>
        <c:auto val="1"/>
        <c:lblAlgn val="ctr"/>
        <c:lblOffset val="100"/>
      </c:catAx>
      <c:valAx>
        <c:axId val="130625536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h[m]</a:t>
                </a:r>
              </a:p>
            </c:rich>
          </c:tx>
          <c:layout>
            <c:manualLayout>
              <c:xMode val="edge"/>
              <c:yMode val="edge"/>
              <c:x val="0"/>
              <c:y val="0.34418246013926518"/>
            </c:manualLayout>
          </c:layout>
        </c:title>
        <c:numFmt formatCode="General" sourceLinked="1"/>
        <c:tickLblPos val="nextTo"/>
        <c:crossAx val="130618496"/>
        <c:crosses val="autoZero"/>
        <c:crossBetween val="between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28574</xdr:colOff>
      <xdr:row>1</xdr:row>
      <xdr:rowOff>19051</xdr:rowOff>
    </xdr:from>
    <xdr:to>
      <xdr:col>14</xdr:col>
      <xdr:colOff>304799</xdr:colOff>
      <xdr:row>20</xdr:row>
      <xdr:rowOff>85727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64"/>
  <sheetViews>
    <sheetView tabSelected="1" workbookViewId="0">
      <selection activeCell="E22" sqref="E22"/>
    </sheetView>
  </sheetViews>
  <sheetFormatPr defaultRowHeight="15"/>
  <cols>
    <col min="9" max="9" width="12" bestFit="1" customWidth="1"/>
  </cols>
  <sheetData>
    <row r="1" spans="1:14">
      <c r="A1" t="s">
        <v>16</v>
      </c>
      <c r="B1" s="1" t="s">
        <v>11</v>
      </c>
      <c r="D1" t="s">
        <v>12</v>
      </c>
      <c r="E1" t="s">
        <v>13</v>
      </c>
      <c r="F1" t="s">
        <v>14</v>
      </c>
      <c r="G1" t="s">
        <v>15</v>
      </c>
      <c r="I1" t="s">
        <v>3</v>
      </c>
      <c r="K1" t="s">
        <v>4</v>
      </c>
      <c r="L1" t="s">
        <v>5</v>
      </c>
      <c r="M1" t="s">
        <v>6</v>
      </c>
      <c r="N1" t="s">
        <v>7</v>
      </c>
    </row>
    <row r="2" spans="1:14">
      <c r="A2">
        <v>0</v>
      </c>
      <c r="B2" s="1">
        <v>0</v>
      </c>
      <c r="D2">
        <f t="shared" ref="D2:D21" si="0">(B3-B2)/$D$29</f>
        <v>10.292292662701588</v>
      </c>
      <c r="E2">
        <f t="shared" ref="E2:E21" si="1">0.5*$E$29*D2^2</f>
        <v>10.593128825470094</v>
      </c>
      <c r="F2">
        <f>$E$29*$F$29*0.5*(B2+B3)</f>
        <v>1.5129670214171336</v>
      </c>
      <c r="G2">
        <f>(E2-F2)*$D$29</f>
        <v>1.362024270607944</v>
      </c>
      <c r="I2">
        <v>0</v>
      </c>
      <c r="K2">
        <f t="shared" ref="K2:K21" si="2">(I3-I2)/$D$29</f>
        <v>10.292292662701588</v>
      </c>
      <c r="L2">
        <f t="shared" ref="L2:L21" si="3">0.5*$E$29*K2^2</f>
        <v>10.593128825470094</v>
      </c>
      <c r="M2">
        <f>$E$29*$F$29*0.5*(I2+I3)</f>
        <v>1.5129670214171336</v>
      </c>
      <c r="N2">
        <f>(L2-M2)*$D$29</f>
        <v>1.362024270607944</v>
      </c>
    </row>
    <row r="3" spans="1:14">
      <c r="A3">
        <v>0.15</v>
      </c>
      <c r="B3" s="1">
        <v>1.5438438994052381</v>
      </c>
      <c r="D3">
        <f t="shared" si="0"/>
        <v>9.0002114808655058</v>
      </c>
      <c r="E3">
        <f t="shared" si="1"/>
        <v>8.1003806700303258</v>
      </c>
      <c r="F3">
        <f t="shared" ref="F3:F21" si="4">$E$29*$F$29*0.5*(B3+B4)</f>
        <v>4.3489651305214965</v>
      </c>
      <c r="G3">
        <f t="shared" ref="G3:G21" si="5">(E3-F3)*$D$29</f>
        <v>0.56271233092632433</v>
      </c>
      <c r="I3">
        <v>1.5438438994052381</v>
      </c>
      <c r="K3">
        <f t="shared" si="2"/>
        <v>9.0002114808655058</v>
      </c>
      <c r="L3">
        <f t="shared" si="3"/>
        <v>8.1003806700303258</v>
      </c>
      <c r="M3">
        <f t="shared" ref="M3:M21" si="6">$E$29*$F$29*0.5*(I3+I4)</f>
        <v>4.3489651305214965</v>
      </c>
      <c r="N3">
        <f t="shared" ref="N3:N21" si="7">(L3-M3)*$D$29</f>
        <v>0.56271233092632433</v>
      </c>
    </row>
    <row r="4" spans="1:14">
      <c r="A4">
        <v>0.3</v>
      </c>
      <c r="B4" s="1">
        <v>2.8938756215350638</v>
      </c>
      <c r="D4">
        <f t="shared" si="0"/>
        <v>7.7887293551540893</v>
      </c>
      <c r="E4">
        <f t="shared" si="1"/>
        <v>6.0664304967839042</v>
      </c>
      <c r="F4">
        <f t="shared" si="4"/>
        <v>6.8169394334163771</v>
      </c>
      <c r="G4">
        <f t="shared" si="5"/>
        <v>-0.11257634049487092</v>
      </c>
      <c r="I4">
        <v>2.8938756215350638</v>
      </c>
      <c r="K4">
        <f t="shared" si="2"/>
        <v>7.7887293551540893</v>
      </c>
      <c r="L4">
        <f t="shared" si="3"/>
        <v>6.0664304967839042</v>
      </c>
      <c r="M4">
        <f t="shared" si="6"/>
        <v>6.8169394334163771</v>
      </c>
      <c r="N4">
        <f t="shared" si="7"/>
        <v>-0.11257634049487092</v>
      </c>
    </row>
    <row r="5" spans="1:14">
      <c r="A5">
        <v>0.44999999999999996</v>
      </c>
      <c r="B5" s="1">
        <v>4.0621850248081772</v>
      </c>
      <c r="D5">
        <f t="shared" si="0"/>
        <v>6.6498299995703825</v>
      </c>
      <c r="E5">
        <f t="shared" si="1"/>
        <v>4.4220239023186236</v>
      </c>
      <c r="F5">
        <f t="shared" si="4"/>
        <v>8.9394076585608762</v>
      </c>
      <c r="G5">
        <f t="shared" si="5"/>
        <v>-0.67760756343633788</v>
      </c>
      <c r="I5">
        <v>4.0621850248081772</v>
      </c>
      <c r="K5">
        <f t="shared" si="2"/>
        <v>6.6498299995703825</v>
      </c>
      <c r="L5">
        <f t="shared" si="3"/>
        <v>4.4220239023186236</v>
      </c>
      <c r="M5">
        <f t="shared" si="6"/>
        <v>8.9394076585608762</v>
      </c>
      <c r="N5">
        <f t="shared" si="7"/>
        <v>-0.67760756343633788</v>
      </c>
    </row>
    <row r="6" spans="1:14">
      <c r="A6">
        <v>0.6</v>
      </c>
      <c r="B6" s="1">
        <v>5.0596595247437346</v>
      </c>
      <c r="D6">
        <f t="shared" si="0"/>
        <v>5.573918213481992</v>
      </c>
      <c r="E6">
        <f t="shared" si="1"/>
        <v>3.1068564250586284</v>
      </c>
      <c r="F6">
        <f t="shared" si="4"/>
        <v>10.736298645879575</v>
      </c>
      <c r="G6">
        <f t="shared" si="5"/>
        <v>-1.1444163331231418</v>
      </c>
      <c r="I6">
        <v>5.0596595247437346</v>
      </c>
      <c r="K6">
        <f t="shared" si="2"/>
        <v>5.573918213481992</v>
      </c>
      <c r="L6">
        <f t="shared" si="3"/>
        <v>3.1068564250586284</v>
      </c>
      <c r="M6">
        <f t="shared" si="6"/>
        <v>10.736298645879575</v>
      </c>
      <c r="N6">
        <f t="shared" si="7"/>
        <v>-1.1444163331231418</v>
      </c>
    </row>
    <row r="7" spans="1:14">
      <c r="A7">
        <v>0.75</v>
      </c>
      <c r="B7" s="1">
        <v>5.8957472567660334</v>
      </c>
      <c r="D7">
        <f t="shared" si="0"/>
        <v>4.5500662596605919</v>
      </c>
      <c r="E7">
        <f t="shared" si="1"/>
        <v>2.070310296730173</v>
      </c>
      <c r="F7">
        <f t="shared" si="4"/>
        <v>12.224524363431534</v>
      </c>
      <c r="G7">
        <f t="shared" si="5"/>
        <v>-1.523132110005204</v>
      </c>
      <c r="I7">
        <v>5.8957472567660334</v>
      </c>
      <c r="K7">
        <f t="shared" si="2"/>
        <v>4.5500662596605919</v>
      </c>
      <c r="L7">
        <f t="shared" si="3"/>
        <v>2.070310296730173</v>
      </c>
      <c r="M7">
        <f t="shared" si="6"/>
        <v>12.224524363431534</v>
      </c>
      <c r="N7">
        <f t="shared" si="7"/>
        <v>-1.523132110005204</v>
      </c>
    </row>
    <row r="8" spans="1:14">
      <c r="A8">
        <v>0.89999999999999991</v>
      </c>
      <c r="B8" s="1">
        <v>6.5782571957151221</v>
      </c>
      <c r="D8">
        <f t="shared" si="0"/>
        <v>3.5662917078318657</v>
      </c>
      <c r="E8">
        <f t="shared" si="1"/>
        <v>1.2718436545350327</v>
      </c>
      <c r="F8">
        <f t="shared" si="4"/>
        <v>13.417628984652925</v>
      </c>
      <c r="G8">
        <f t="shared" si="5"/>
        <v>-1.8218677995176837</v>
      </c>
      <c r="I8">
        <v>6.5782571957151221</v>
      </c>
      <c r="K8">
        <f t="shared" si="2"/>
        <v>3.5662917078318657</v>
      </c>
      <c r="L8">
        <f t="shared" si="3"/>
        <v>1.2718436545350327</v>
      </c>
      <c r="M8">
        <f t="shared" si="6"/>
        <v>13.417628984652925</v>
      </c>
      <c r="N8">
        <f t="shared" si="7"/>
        <v>-1.8218677995176837</v>
      </c>
    </row>
    <row r="9" spans="1:14">
      <c r="A9">
        <v>1.05</v>
      </c>
      <c r="B9" s="1">
        <v>7.113200951889902</v>
      </c>
      <c r="D9">
        <f t="shared" si="0"/>
        <v>2.6098608740472193</v>
      </c>
      <c r="E9">
        <f t="shared" si="1"/>
        <v>0.6811373781882516</v>
      </c>
      <c r="F9">
        <f t="shared" si="4"/>
        <v>14.325523414189151</v>
      </c>
      <c r="G9">
        <f t="shared" si="5"/>
        <v>-2.0466579054001346</v>
      </c>
      <c r="I9">
        <v>7.113200951889902</v>
      </c>
      <c r="K9">
        <f t="shared" si="2"/>
        <v>2.6098608740472193</v>
      </c>
      <c r="L9">
        <f t="shared" si="3"/>
        <v>0.6811373781882516</v>
      </c>
      <c r="M9">
        <f t="shared" si="6"/>
        <v>14.325523414189151</v>
      </c>
      <c r="N9">
        <f t="shared" si="7"/>
        <v>-2.0466579054001346</v>
      </c>
    </row>
    <row r="10" spans="1:14">
      <c r="A10">
        <v>1.2</v>
      </c>
      <c r="B10" s="1">
        <v>7.5046800829969849</v>
      </c>
      <c r="D10">
        <f t="shared" si="0"/>
        <v>1.6676107290884268</v>
      </c>
      <c r="E10">
        <f t="shared" si="1"/>
        <v>0.27809255437708347</v>
      </c>
      <c r="F10">
        <f t="shared" si="4"/>
        <v>14.954311739850089</v>
      </c>
      <c r="G10">
        <f t="shared" si="5"/>
        <v>-2.2014328778209507</v>
      </c>
      <c r="I10">
        <v>7.5046800829969849</v>
      </c>
      <c r="K10">
        <f t="shared" si="2"/>
        <v>1.6676107290884268</v>
      </c>
      <c r="L10">
        <f t="shared" si="3"/>
        <v>0.27809255437708347</v>
      </c>
      <c r="M10">
        <f t="shared" si="6"/>
        <v>14.954311739850089</v>
      </c>
      <c r="N10">
        <f t="shared" si="7"/>
        <v>-2.2014328778209507</v>
      </c>
    </row>
    <row r="11" spans="1:14">
      <c r="A11">
        <v>1.3499999999999999</v>
      </c>
      <c r="B11" s="1">
        <v>7.7548216923602489</v>
      </c>
      <c r="D11">
        <f t="shared" si="0"/>
        <v>0.72628106608036691</v>
      </c>
      <c r="E11">
        <f t="shared" si="1"/>
        <v>5.2748418694683434E-2</v>
      </c>
      <c r="F11">
        <f t="shared" si="4"/>
        <v>15.306213833739902</v>
      </c>
      <c r="G11">
        <f t="shared" si="5"/>
        <v>-2.2880198122567825</v>
      </c>
      <c r="I11">
        <v>7.7548216923602489</v>
      </c>
      <c r="K11">
        <f t="shared" si="2"/>
        <v>0.72628106608036691</v>
      </c>
      <c r="L11">
        <f t="shared" si="3"/>
        <v>5.2748418694683434E-2</v>
      </c>
      <c r="M11">
        <f t="shared" si="6"/>
        <v>15.306213833739902</v>
      </c>
      <c r="N11">
        <f t="shared" si="7"/>
        <v>-2.2880198122567825</v>
      </c>
    </row>
    <row r="12" spans="1:14">
      <c r="A12">
        <v>1.5</v>
      </c>
      <c r="B12" s="1">
        <v>7.8637638522723039</v>
      </c>
      <c r="D12">
        <f t="shared" si="0"/>
        <v>-0.22715208592905731</v>
      </c>
      <c r="E12">
        <f t="shared" si="1"/>
        <v>5.1598070141921836E-3</v>
      </c>
      <c r="F12">
        <f t="shared" si="4"/>
        <v>15.379585793822146</v>
      </c>
      <c r="G12">
        <f t="shared" si="5"/>
        <v>-2.3061638980211931</v>
      </c>
      <c r="I12">
        <v>7.8637638522723039</v>
      </c>
      <c r="K12">
        <f t="shared" si="2"/>
        <v>-0.22715208592905731</v>
      </c>
      <c r="L12">
        <f t="shared" si="3"/>
        <v>5.1598070141921836E-3</v>
      </c>
      <c r="M12">
        <f t="shared" si="6"/>
        <v>15.379585793822146</v>
      </c>
      <c r="N12">
        <f t="shared" si="7"/>
        <v>-2.3061638980211931</v>
      </c>
    </row>
    <row r="13" spans="1:14">
      <c r="A13">
        <v>1.65</v>
      </c>
      <c r="B13" s="1">
        <v>7.8296910393829453</v>
      </c>
      <c r="D13">
        <f t="shared" si="0"/>
        <v>-1.2051512542403429</v>
      </c>
      <c r="E13">
        <f t="shared" si="1"/>
        <v>0.14523895455970715</v>
      </c>
      <c r="F13">
        <f t="shared" si="4"/>
        <v>15.169037202817243</v>
      </c>
      <c r="G13">
        <f t="shared" si="5"/>
        <v>-2.2535697372386303</v>
      </c>
      <c r="I13">
        <v>7.8296910393829453</v>
      </c>
      <c r="K13">
        <f t="shared" si="2"/>
        <v>-1.2051512542403429</v>
      </c>
      <c r="L13">
        <f t="shared" si="3"/>
        <v>0.14523895455970715</v>
      </c>
      <c r="M13">
        <f t="shared" si="6"/>
        <v>15.169037202817243</v>
      </c>
      <c r="N13">
        <f t="shared" si="7"/>
        <v>-2.2535697372386303</v>
      </c>
    </row>
    <row r="14" spans="1:14">
      <c r="A14">
        <v>1.7999999999999998</v>
      </c>
      <c r="B14" s="1">
        <v>7.6489183512468939</v>
      </c>
      <c r="D14">
        <f t="shared" si="0"/>
        <v>-2.2193099902973699</v>
      </c>
      <c r="E14">
        <f t="shared" si="1"/>
        <v>0.49253368330337122</v>
      </c>
      <c r="F14">
        <f t="shared" si="4"/>
        <v>14.665641399870202</v>
      </c>
      <c r="G14">
        <f t="shared" si="5"/>
        <v>-2.1259661574850246</v>
      </c>
      <c r="I14">
        <v>7.6489183512468939</v>
      </c>
      <c r="K14">
        <f t="shared" si="2"/>
        <v>-2.2193099902973699</v>
      </c>
      <c r="L14">
        <f t="shared" si="3"/>
        <v>0.49253368330337122</v>
      </c>
      <c r="M14">
        <f t="shared" si="6"/>
        <v>14.665641399870202</v>
      </c>
      <c r="N14">
        <f t="shared" si="7"/>
        <v>-2.1259661574850246</v>
      </c>
    </row>
    <row r="15" spans="1:14">
      <c r="A15">
        <v>1.95</v>
      </c>
      <c r="B15" s="1">
        <v>7.3160218527022884</v>
      </c>
      <c r="D15">
        <f t="shared" si="0"/>
        <v>-3.2800720586565175</v>
      </c>
      <c r="E15">
        <f t="shared" si="1"/>
        <v>1.0758872709979206</v>
      </c>
      <c r="F15">
        <f t="shared" si="4"/>
        <v>13.857232238673978</v>
      </c>
      <c r="G15">
        <f t="shared" si="5"/>
        <v>-1.9172017451514085</v>
      </c>
      <c r="I15">
        <v>7.3160218527022884</v>
      </c>
      <c r="K15">
        <f t="shared" si="2"/>
        <v>-3.2800720586565175</v>
      </c>
      <c r="L15">
        <f t="shared" si="3"/>
        <v>1.0758872709979206</v>
      </c>
      <c r="M15">
        <f t="shared" si="6"/>
        <v>13.857232238673978</v>
      </c>
      <c r="N15">
        <f t="shared" si="7"/>
        <v>-1.9172017451514085</v>
      </c>
    </row>
    <row r="16" spans="1:14">
      <c r="A16">
        <v>2.1</v>
      </c>
      <c r="B16" s="1">
        <v>6.8240110439038109</v>
      </c>
      <c r="D16">
        <f t="shared" si="0"/>
        <v>-4.396485541766987</v>
      </c>
      <c r="E16">
        <f t="shared" si="1"/>
        <v>1.9329085118966161</v>
      </c>
      <c r="F16">
        <f t="shared" si="4"/>
        <v>12.728778271411723</v>
      </c>
      <c r="G16">
        <f t="shared" si="5"/>
        <v>-1.619380463927266</v>
      </c>
      <c r="I16">
        <v>6.8240110439038109</v>
      </c>
      <c r="K16">
        <f t="shared" si="2"/>
        <v>-4.396485541766987</v>
      </c>
      <c r="L16">
        <f t="shared" si="3"/>
        <v>1.9329085118966161</v>
      </c>
      <c r="M16">
        <f t="shared" si="6"/>
        <v>12.728778271411723</v>
      </c>
      <c r="N16">
        <f t="shared" si="7"/>
        <v>-1.619380463927266</v>
      </c>
    </row>
    <row r="17" spans="1:14">
      <c r="A17">
        <v>2.25</v>
      </c>
      <c r="B17" s="1">
        <v>6.1645382126387629</v>
      </c>
      <c r="D17">
        <f t="shared" si="0"/>
        <v>-5.57599882545827</v>
      </c>
      <c r="E17">
        <f t="shared" si="1"/>
        <v>3.1091762901512006</v>
      </c>
      <c r="F17">
        <f t="shared" si="4"/>
        <v>11.262823069429611</v>
      </c>
      <c r="G17">
        <f t="shared" si="5"/>
        <v>-1.2230470168917615</v>
      </c>
      <c r="I17">
        <v>6.1645382126387629</v>
      </c>
      <c r="K17">
        <f t="shared" si="2"/>
        <v>-5.57599882545827</v>
      </c>
      <c r="L17">
        <f t="shared" si="3"/>
        <v>3.1091762901512006</v>
      </c>
      <c r="M17">
        <f t="shared" si="6"/>
        <v>11.262823069429611</v>
      </c>
      <c r="N17">
        <f t="shared" si="7"/>
        <v>-1.2230470168917615</v>
      </c>
    </row>
    <row r="18" spans="1:14">
      <c r="A18">
        <v>2.4</v>
      </c>
      <c r="B18" s="1">
        <v>5.3281383888200224</v>
      </c>
      <c r="D18">
        <f t="shared" si="0"/>
        <v>-6.8243038972072334</v>
      </c>
      <c r="E18">
        <f t="shared" si="1"/>
        <v>4.6571123681437836</v>
      </c>
      <c r="F18">
        <f t="shared" si="4"/>
        <v>9.4399785691977804</v>
      </c>
      <c r="G18">
        <f t="shared" si="5"/>
        <v>-0.71742993015809953</v>
      </c>
      <c r="I18">
        <v>5.3281383888200224</v>
      </c>
      <c r="K18">
        <f t="shared" si="2"/>
        <v>-6.8243038972072334</v>
      </c>
      <c r="L18">
        <f t="shared" si="3"/>
        <v>4.6571123681437836</v>
      </c>
      <c r="M18">
        <f t="shared" si="6"/>
        <v>9.4399785691977804</v>
      </c>
      <c r="N18">
        <f t="shared" si="7"/>
        <v>-0.71742993015809953</v>
      </c>
    </row>
    <row r="19" spans="1:14">
      <c r="A19">
        <v>2.5499999999999998</v>
      </c>
      <c r="B19" s="1">
        <v>4.3044928042389374</v>
      </c>
      <c r="D19">
        <f t="shared" si="0"/>
        <v>-8.1452306480333672</v>
      </c>
      <c r="E19">
        <f t="shared" si="1"/>
        <v>6.6344782309662067</v>
      </c>
      <c r="F19">
        <f t="shared" si="4"/>
        <v>7.2394569910474136</v>
      </c>
      <c r="G19">
        <f t="shared" si="5"/>
        <v>-9.0746814012181029E-2</v>
      </c>
      <c r="I19">
        <v>4.3044928042389374</v>
      </c>
      <c r="K19">
        <f t="shared" si="2"/>
        <v>-8.1452306480333672</v>
      </c>
      <c r="L19">
        <f t="shared" si="3"/>
        <v>6.6344782309662067</v>
      </c>
      <c r="M19">
        <f t="shared" si="6"/>
        <v>7.2394569910474136</v>
      </c>
      <c r="N19">
        <f t="shared" si="7"/>
        <v>-9.0746814012181029E-2</v>
      </c>
    </row>
    <row r="20" spans="1:14">
      <c r="A20">
        <v>2.6999999999999997</v>
      </c>
      <c r="B20" s="1">
        <v>3.0827082070339324</v>
      </c>
      <c r="D20">
        <f t="shared" si="0"/>
        <v>-9.5406940234464415</v>
      </c>
      <c r="E20">
        <f t="shared" si="1"/>
        <v>9.1024842449026657</v>
      </c>
      <c r="F20">
        <f t="shared" si="4"/>
        <v>4.6396260643398817</v>
      </c>
      <c r="G20">
        <f t="shared" si="5"/>
        <v>0.66942872708441759</v>
      </c>
      <c r="I20">
        <v>3.0827082070339324</v>
      </c>
      <c r="K20">
        <f t="shared" si="2"/>
        <v>-9.5406940234464415</v>
      </c>
      <c r="L20">
        <f t="shared" si="3"/>
        <v>9.1024842449026657</v>
      </c>
      <c r="M20">
        <f t="shared" si="6"/>
        <v>4.6396260643398817</v>
      </c>
      <c r="N20">
        <f t="shared" si="7"/>
        <v>0.66942872708441759</v>
      </c>
    </row>
    <row r="21" spans="1:14">
      <c r="A21">
        <v>2.85</v>
      </c>
      <c r="B21" s="1">
        <v>1.6516041035169662</v>
      </c>
      <c r="D21">
        <f t="shared" si="0"/>
        <v>-11.010694023446442</v>
      </c>
      <c r="E21">
        <f t="shared" si="1"/>
        <v>12.12353828779592</v>
      </c>
      <c r="F21">
        <f t="shared" si="4"/>
        <v>1.618572021446627</v>
      </c>
      <c r="G21">
        <f t="shared" si="5"/>
        <v>1.5757449399523937</v>
      </c>
      <c r="I21">
        <v>1.6516041035169662</v>
      </c>
      <c r="K21">
        <f t="shared" si="2"/>
        <v>-11.010694023446442</v>
      </c>
      <c r="L21">
        <f t="shared" si="3"/>
        <v>12.12353828779592</v>
      </c>
      <c r="M21">
        <f t="shared" si="6"/>
        <v>1.618572021446627</v>
      </c>
      <c r="N21">
        <f t="shared" si="7"/>
        <v>1.5757449399523937</v>
      </c>
    </row>
    <row r="22" spans="1:14">
      <c r="A22">
        <v>3</v>
      </c>
      <c r="B22" s="1">
        <v>0</v>
      </c>
      <c r="I22">
        <v>0</v>
      </c>
    </row>
    <row r="24" spans="1:14">
      <c r="F24" t="s">
        <v>10</v>
      </c>
      <c r="G24">
        <f>SUM(G1:G21)</f>
        <v>-19.899306236369593</v>
      </c>
      <c r="M24" t="s">
        <v>8</v>
      </c>
      <c r="N24">
        <f>SUM(N1:N21)</f>
        <v>-19.899306236369593</v>
      </c>
    </row>
    <row r="28" spans="1:14">
      <c r="D28" t="s">
        <v>0</v>
      </c>
      <c r="E28" t="s">
        <v>1</v>
      </c>
      <c r="F28" t="s">
        <v>2</v>
      </c>
    </row>
    <row r="29" spans="1:14">
      <c r="D29">
        <f>3/20</f>
        <v>0.15</v>
      </c>
      <c r="E29">
        <v>0.2</v>
      </c>
      <c r="F29">
        <v>9.8000000000000007</v>
      </c>
    </row>
    <row r="64" spans="5:5">
      <c r="E64" t="s">
        <v>9</v>
      </c>
    </row>
  </sheetData>
  <pageMargins left="0.7" right="0.7" top="0.75" bottom="0.75" header="0.3" footer="0.3"/>
  <pageSetup orientation="portrait" r:id="rId1"/>
  <drawing r:id="rId2"/>
  <legacyDrawing r:id="rId3"/>
  <controls>
    <control shapeId="1027" r:id="rId4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2016-11-01T18:24:57Z</dcterms:modified>
</cp:coreProperties>
</file>