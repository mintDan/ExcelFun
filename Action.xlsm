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D13" i="1"/>
  <c r="M21" l="1"/>
  <c r="M20"/>
  <c r="M19"/>
  <c r="M18"/>
  <c r="M17"/>
  <c r="M16"/>
  <c r="M15"/>
  <c r="M14"/>
  <c r="M13"/>
  <c r="M12"/>
  <c r="M11"/>
  <c r="M10"/>
  <c r="M9"/>
  <c r="M8"/>
  <c r="M7"/>
  <c r="M6"/>
  <c r="M5"/>
  <c r="M4"/>
  <c r="M3"/>
  <c r="M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D29"/>
  <c r="K21" s="1"/>
  <c r="L21" s="1"/>
  <c r="D2" l="1"/>
  <c r="E2" s="1"/>
  <c r="G2" s="1"/>
  <c r="D3"/>
  <c r="E3" s="1"/>
  <c r="G3" s="1"/>
  <c r="D4"/>
  <c r="E4" s="1"/>
  <c r="G4" s="1"/>
  <c r="D5"/>
  <c r="E5" s="1"/>
  <c r="G5" s="1"/>
  <c r="D6"/>
  <c r="E6" s="1"/>
  <c r="G6" s="1"/>
  <c r="D7"/>
  <c r="E7" s="1"/>
  <c r="G7" s="1"/>
  <c r="D8"/>
  <c r="E8" s="1"/>
  <c r="G8" s="1"/>
  <c r="D9"/>
  <c r="E9" s="1"/>
  <c r="G9" s="1"/>
  <c r="D10"/>
  <c r="E10" s="1"/>
  <c r="G10" s="1"/>
  <c r="D11"/>
  <c r="E11" s="1"/>
  <c r="G11" s="1"/>
  <c r="D12"/>
  <c r="E12" s="1"/>
  <c r="G12" s="1"/>
  <c r="E13"/>
  <c r="G13" s="1"/>
  <c r="D14"/>
  <c r="E14" s="1"/>
  <c r="G14" s="1"/>
  <c r="D15"/>
  <c r="E15" s="1"/>
  <c r="G15" s="1"/>
  <c r="D16"/>
  <c r="E16" s="1"/>
  <c r="G16" s="1"/>
  <c r="D17"/>
  <c r="E17" s="1"/>
  <c r="G17" s="1"/>
  <c r="D18"/>
  <c r="E18" s="1"/>
  <c r="G18" s="1"/>
  <c r="D19"/>
  <c r="E19" s="1"/>
  <c r="G19" s="1"/>
  <c r="D20"/>
  <c r="E20" s="1"/>
  <c r="G20" s="1"/>
  <c r="D21"/>
  <c r="E21" s="1"/>
  <c r="G21" s="1"/>
  <c r="K2"/>
  <c r="L2" s="1"/>
  <c r="N2" s="1"/>
  <c r="K3"/>
  <c r="L3" s="1"/>
  <c r="N3" s="1"/>
  <c r="K4"/>
  <c r="L4" s="1"/>
  <c r="N4" s="1"/>
  <c r="K5"/>
  <c r="L5" s="1"/>
  <c r="N5" s="1"/>
  <c r="K6"/>
  <c r="L6" s="1"/>
  <c r="N6" s="1"/>
  <c r="K7"/>
  <c r="L7" s="1"/>
  <c r="N7" s="1"/>
  <c r="K8"/>
  <c r="L8" s="1"/>
  <c r="N8" s="1"/>
  <c r="K9"/>
  <c r="L9" s="1"/>
  <c r="N9" s="1"/>
  <c r="K10"/>
  <c r="L10" s="1"/>
  <c r="N10" s="1"/>
  <c r="K11"/>
  <c r="L11" s="1"/>
  <c r="N11" s="1"/>
  <c r="K12"/>
  <c r="L12" s="1"/>
  <c r="N12" s="1"/>
  <c r="K13"/>
  <c r="L13" s="1"/>
  <c r="N13" s="1"/>
  <c r="K14"/>
  <c r="L14" s="1"/>
  <c r="N14" s="1"/>
  <c r="K15"/>
  <c r="L15" s="1"/>
  <c r="N15" s="1"/>
  <c r="K16"/>
  <c r="L16" s="1"/>
  <c r="N16" s="1"/>
  <c r="K17"/>
  <c r="L17" s="1"/>
  <c r="N17" s="1"/>
  <c r="K18"/>
  <c r="L18" s="1"/>
  <c r="N18" s="1"/>
  <c r="K19"/>
  <c r="L19" s="1"/>
  <c r="N19" s="1"/>
  <c r="K20"/>
  <c r="L20" s="1"/>
  <c r="N20" s="1"/>
  <c r="N21"/>
  <c r="G24" l="1"/>
  <c r="N24"/>
</calcChain>
</file>

<file path=xl/sharedStrings.xml><?xml version="1.0" encoding="utf-8"?>
<sst xmlns="http://schemas.openxmlformats.org/spreadsheetml/2006/main" count="16" uniqueCount="16">
  <si>
    <t>dt</t>
  </si>
  <si>
    <t>m</t>
  </si>
  <si>
    <t>g</t>
  </si>
  <si>
    <t>h2</t>
  </si>
  <si>
    <t>v2</t>
  </si>
  <si>
    <t>T2</t>
  </si>
  <si>
    <t>V2</t>
  </si>
  <si>
    <t>L2</t>
  </si>
  <si>
    <t>S2</t>
  </si>
  <si>
    <t>S</t>
  </si>
  <si>
    <t>h[m]</t>
  </si>
  <si>
    <t>v[m/s]</t>
  </si>
  <si>
    <t>T[J]</t>
  </si>
  <si>
    <t>V[J]</t>
  </si>
  <si>
    <t>L[J]</t>
  </si>
  <si>
    <t>t[s]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</si>
</sst>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5"/>
  <c:chart>
    <c:title>
      <c:tx>
        <c:rich>
          <a:bodyPr/>
          <a:lstStyle/>
          <a:p>
            <a:pPr>
              <a:defRPr/>
            </a:pPr>
            <a:r>
              <a:rPr lang="en-US"/>
              <a:t>Falling</a:t>
            </a:r>
            <a:r>
              <a:rPr lang="en-US" baseline="0"/>
              <a:t> baseball</a:t>
            </a:r>
            <a:endParaRPr lang="en-US"/>
          </a:p>
        </c:rich>
      </c:tx>
      <c:layout>
        <c:manualLayout>
          <c:xMode val="edge"/>
          <c:yMode val="edge"/>
          <c:x val="0.38997597131344497"/>
          <c:y val="0"/>
        </c:manualLayout>
      </c:layout>
    </c:title>
    <c:plotArea>
      <c:layout>
        <c:manualLayout>
          <c:layoutTarget val="inner"/>
          <c:xMode val="edge"/>
          <c:yMode val="edge"/>
          <c:x val="0.10122440944881898"/>
          <c:y val="7.4548702245552628E-2"/>
          <c:w val="0.86459492563429574"/>
          <c:h val="0.77904500490481232"/>
        </c:manualLayout>
      </c:layout>
      <c:lineChart>
        <c:grouping val="standard"/>
        <c:ser>
          <c:idx val="0"/>
          <c:order val="0"/>
          <c:marker>
            <c:spPr>
              <a:noFill/>
            </c:spPr>
          </c:marker>
          <c:cat>
            <c:numRef>
              <c:f>Sheet1!$A$2:$A$22</c:f>
              <c:numCache>
                <c:formatCode>General</c:formatCode>
                <c:ptCount val="2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0.89999999999999991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1.5</c:v>
                </c:pt>
                <c:pt idx="11">
                  <c:v>1.65</c:v>
                </c:pt>
                <c:pt idx="12">
                  <c:v>1.7999999999999998</c:v>
                </c:pt>
                <c:pt idx="13">
                  <c:v>1.95</c:v>
                </c:pt>
                <c:pt idx="14">
                  <c:v>2.1</c:v>
                </c:pt>
                <c:pt idx="15">
                  <c:v>2.25</c:v>
                </c:pt>
                <c:pt idx="16">
                  <c:v>2.4</c:v>
                </c:pt>
                <c:pt idx="17">
                  <c:v>2.5499999999999998</c:v>
                </c:pt>
                <c:pt idx="18">
                  <c:v>2.6999999999999997</c:v>
                </c:pt>
                <c:pt idx="19">
                  <c:v>2.85</c:v>
                </c:pt>
                <c:pt idx="20">
                  <c:v>3</c:v>
                </c:pt>
              </c:numCache>
            </c:numRef>
          </c:cat>
          <c:val>
            <c:numRef>
              <c:f>Sheet1!$B$2:$B$22</c:f>
              <c:numCache>
                <c:formatCode>General</c:formatCode>
                <c:ptCount val="21"/>
                <c:pt idx="0">
                  <c:v>0</c:v>
                </c:pt>
                <c:pt idx="1">
                  <c:v>0.55652899932861311</c:v>
                </c:pt>
                <c:pt idx="2">
                  <c:v>0.97026089859008757</c:v>
                </c:pt>
                <c:pt idx="3">
                  <c:v>1.2729832477569576</c:v>
                </c:pt>
                <c:pt idx="4">
                  <c:v>1.491185671806335</c:v>
                </c:pt>
                <c:pt idx="5">
                  <c:v>1.646263637065887</c:v>
                </c:pt>
                <c:pt idx="6">
                  <c:v>1.7550278670787807</c:v>
                </c:pt>
                <c:pt idx="7">
                  <c:v>1.8303665832281109</c:v>
                </c:pt>
                <c:pt idx="8">
                  <c:v>1.8819459515511985</c:v>
                </c:pt>
                <c:pt idx="9">
                  <c:v>1.9168734470754858</c:v>
                </c:pt>
                <c:pt idx="10">
                  <c:v>1.9402822462096807</c:v>
                </c:pt>
                <c:pt idx="11">
                  <c:v>1.95581960587576</c:v>
                </c:pt>
                <c:pt idx="12">
                  <c:v>1.9651772786155339</c:v>
                </c:pt>
                <c:pt idx="13">
                  <c:v>1.966242140622809</c:v>
                </c:pt>
                <c:pt idx="14">
                  <c:v>1.9505262767616653</c:v>
                </c:pt>
                <c:pt idx="15">
                  <c:v>1.9010752569744358</c:v>
                </c:pt>
                <c:pt idx="16">
                  <c:v>1.7917835892043072</c:v>
                </c:pt>
                <c:pt idx="17">
                  <c:v>1.5883722256708421</c:v>
                </c:pt>
                <c:pt idx="18">
                  <c:v>1.2506763283697653</c:v>
                </c:pt>
                <c:pt idx="19">
                  <c:v>0.7355881641848826</c:v>
                </c:pt>
                <c:pt idx="20">
                  <c:v>0</c:v>
                </c:pt>
              </c:numCache>
            </c:numRef>
          </c:val>
        </c:ser>
        <c:marker val="1"/>
        <c:axId val="143833344"/>
        <c:axId val="153379584"/>
      </c:lineChart>
      <c:catAx>
        <c:axId val="1438333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t[seconds]</a:t>
                </a:r>
              </a:p>
            </c:rich>
          </c:tx>
          <c:layout/>
        </c:title>
        <c:numFmt formatCode="General" sourceLinked="1"/>
        <c:tickLblPos val="nextTo"/>
        <c:crossAx val="153379584"/>
        <c:crosses val="autoZero"/>
        <c:auto val="1"/>
        <c:lblAlgn val="ctr"/>
        <c:lblOffset val="100"/>
      </c:catAx>
      <c:valAx>
        <c:axId val="153379584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h[m]</a:t>
                </a:r>
              </a:p>
            </c:rich>
          </c:tx>
          <c:layout>
            <c:manualLayout>
              <c:xMode val="edge"/>
              <c:yMode val="edge"/>
              <c:x val="0"/>
              <c:y val="0.34418246013926546"/>
            </c:manualLayout>
          </c:layout>
        </c:title>
        <c:numFmt formatCode="General" sourceLinked="1"/>
        <c:tickLblPos val="nextTo"/>
        <c:crossAx val="143833344"/>
        <c:crosses val="autoZero"/>
        <c:crossBetween val="between"/>
      </c:valAx>
    </c:plotArea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133349</xdr:colOff>
      <xdr:row>1</xdr:row>
      <xdr:rowOff>76201</xdr:rowOff>
    </xdr:from>
    <xdr:to>
      <xdr:col>14</xdr:col>
      <xdr:colOff>409574</xdr:colOff>
      <xdr:row>20</xdr:row>
      <xdr:rowOff>142877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29"/>
  <sheetViews>
    <sheetView tabSelected="1" workbookViewId="0">
      <selection activeCell="E22" sqref="E22"/>
    </sheetView>
  </sheetViews>
  <sheetFormatPr defaultRowHeight="15"/>
  <cols>
    <col min="9" max="9" width="12" bestFit="1" customWidth="1"/>
  </cols>
  <sheetData>
    <row r="1" spans="1:14">
      <c r="A1" t="s">
        <v>15</v>
      </c>
      <c r="B1" s="1" t="s">
        <v>10</v>
      </c>
      <c r="D1" t="s">
        <v>11</v>
      </c>
      <c r="E1" t="s">
        <v>12</v>
      </c>
      <c r="F1" t="s">
        <v>13</v>
      </c>
      <c r="G1" t="s">
        <v>14</v>
      </c>
      <c r="I1" t="s">
        <v>3</v>
      </c>
      <c r="K1" t="s">
        <v>4</v>
      </c>
      <c r="L1" t="s">
        <v>5</v>
      </c>
      <c r="M1" t="s">
        <v>6</v>
      </c>
      <c r="N1" t="s">
        <v>7</v>
      </c>
    </row>
    <row r="2" spans="1:14">
      <c r="A2">
        <v>0</v>
      </c>
      <c r="B2" s="1">
        <v>0</v>
      </c>
      <c r="D2">
        <f t="shared" ref="D2:D21" si="0">(B3-B2)/$D$29</f>
        <v>3.7101933288574207</v>
      </c>
      <c r="E2">
        <f t="shared" ref="E2:E21" si="1">0.5*$E$29*D2^2</f>
        <v>1.376553453749811</v>
      </c>
      <c r="F2">
        <f>$E$29*$F$29*0.5*(B2+B3)</f>
        <v>0.54539841934204092</v>
      </c>
      <c r="G2">
        <f>(E2-F2)*$D$29</f>
        <v>0.12467325516116551</v>
      </c>
      <c r="I2">
        <v>0</v>
      </c>
      <c r="K2">
        <f t="shared" ref="K2:K21" si="2">(I3-I2)/$D$29</f>
        <v>3.7101933288574207</v>
      </c>
      <c r="L2">
        <f t="shared" ref="L2:L21" si="3">0.5*$E$29*K2^2</f>
        <v>1.376553453749811</v>
      </c>
      <c r="M2">
        <f>$E$29*$F$29*0.5*(I2+I3)</f>
        <v>0.54539841934204092</v>
      </c>
      <c r="N2">
        <f>(L2-M2)*$D$29</f>
        <v>0.12467325516116551</v>
      </c>
    </row>
    <row r="3" spans="1:14">
      <c r="A3">
        <v>0.15</v>
      </c>
      <c r="B3" s="1">
        <v>0.55652899932861311</v>
      </c>
      <c r="D3">
        <f t="shared" si="0"/>
        <v>2.7582126617431633</v>
      </c>
      <c r="E3">
        <f t="shared" si="1"/>
        <v>0.76077370874003059</v>
      </c>
      <c r="F3">
        <f t="shared" ref="F3:F21" si="4">$E$29*$F$29*0.5*(B3+B4)</f>
        <v>1.4962540999603269</v>
      </c>
      <c r="G3">
        <f t="shared" ref="G3:G21" si="5">(E3-F3)*$D$29</f>
        <v>-0.11032205868304444</v>
      </c>
      <c r="I3">
        <v>0.55652899932861311</v>
      </c>
      <c r="K3">
        <f t="shared" si="2"/>
        <v>2.7582126617431633</v>
      </c>
      <c r="L3">
        <f t="shared" si="3"/>
        <v>0.76077370874003059</v>
      </c>
      <c r="M3">
        <f t="shared" ref="M3:M21" si="6">$E$29*$F$29*0.5*(I3+I4)</f>
        <v>1.4962540999603269</v>
      </c>
      <c r="N3">
        <f t="shared" ref="N3:N21" si="7">(L3-M3)*$D$29</f>
        <v>-0.11032205868304444</v>
      </c>
    </row>
    <row r="4" spans="1:14">
      <c r="A4">
        <v>0.3</v>
      </c>
      <c r="B4" s="1">
        <v>0.97026089859008757</v>
      </c>
      <c r="D4">
        <f t="shared" si="0"/>
        <v>2.0181489944458004</v>
      </c>
      <c r="E4">
        <f t="shared" si="1"/>
        <v>0.40729253637825957</v>
      </c>
      <c r="F4">
        <f t="shared" si="4"/>
        <v>2.1983792634201045</v>
      </c>
      <c r="G4">
        <f t="shared" si="5"/>
        <v>-0.26866300905627671</v>
      </c>
      <c r="I4">
        <v>0.97026089859008757</v>
      </c>
      <c r="K4">
        <f t="shared" si="2"/>
        <v>2.0181489944458004</v>
      </c>
      <c r="L4">
        <f t="shared" si="3"/>
        <v>0.40729253637825957</v>
      </c>
      <c r="M4">
        <f t="shared" si="6"/>
        <v>2.1983792634201045</v>
      </c>
      <c r="N4">
        <f t="shared" si="7"/>
        <v>-0.26866300905627671</v>
      </c>
    </row>
    <row r="5" spans="1:14">
      <c r="A5">
        <v>0.44999999999999996</v>
      </c>
      <c r="B5" s="1">
        <v>1.2729832477569576</v>
      </c>
      <c r="D5">
        <f t="shared" si="0"/>
        <v>1.4546828269958494</v>
      </c>
      <c r="E5">
        <f t="shared" si="1"/>
        <v>0.21161021271566366</v>
      </c>
      <c r="F5">
        <f t="shared" si="4"/>
        <v>2.7088855411720272</v>
      </c>
      <c r="G5">
        <f t="shared" si="5"/>
        <v>-0.37459129926845453</v>
      </c>
      <c r="I5">
        <v>1.2729832477569576</v>
      </c>
      <c r="K5">
        <f t="shared" si="2"/>
        <v>1.4546828269958494</v>
      </c>
      <c r="L5">
        <f t="shared" si="3"/>
        <v>0.21161021271566366</v>
      </c>
      <c r="M5">
        <f t="shared" si="6"/>
        <v>2.7088855411720272</v>
      </c>
      <c r="N5">
        <f t="shared" si="7"/>
        <v>-0.37459129926845453</v>
      </c>
    </row>
    <row r="6" spans="1:14">
      <c r="A6">
        <v>0.6</v>
      </c>
      <c r="B6" s="1">
        <v>1.491185671806335</v>
      </c>
      <c r="D6">
        <f t="shared" si="0"/>
        <v>1.0338531017303465</v>
      </c>
      <c r="E6">
        <f t="shared" si="1"/>
        <v>0.10688522359574582</v>
      </c>
      <c r="F6">
        <f t="shared" si="4"/>
        <v>3.074700322694778</v>
      </c>
      <c r="G6">
        <f t="shared" si="5"/>
        <v>-0.44517226486485478</v>
      </c>
      <c r="I6">
        <v>1.491185671806335</v>
      </c>
      <c r="K6">
        <f t="shared" si="2"/>
        <v>1.0338531017303465</v>
      </c>
      <c r="L6">
        <f t="shared" si="3"/>
        <v>0.10688522359574582</v>
      </c>
      <c r="M6">
        <f t="shared" si="6"/>
        <v>3.074700322694778</v>
      </c>
      <c r="N6">
        <f t="shared" si="7"/>
        <v>-0.44517226486485478</v>
      </c>
    </row>
    <row r="7" spans="1:14">
      <c r="A7">
        <v>0.75</v>
      </c>
      <c r="B7" s="1">
        <v>1.646263637065887</v>
      </c>
      <c r="D7">
        <f t="shared" si="0"/>
        <v>0.72509486675262469</v>
      </c>
      <c r="E7">
        <f t="shared" si="1"/>
        <v>5.2576256579100658E-2</v>
      </c>
      <c r="F7">
        <f t="shared" si="4"/>
        <v>3.3332656740617748</v>
      </c>
      <c r="G7">
        <f t="shared" si="5"/>
        <v>-0.49210341262240109</v>
      </c>
      <c r="I7">
        <v>1.646263637065887</v>
      </c>
      <c r="K7">
        <f t="shared" si="2"/>
        <v>0.72509486675262469</v>
      </c>
      <c r="L7">
        <f t="shared" si="3"/>
        <v>5.2576256579100658E-2</v>
      </c>
      <c r="M7">
        <f t="shared" si="6"/>
        <v>3.3332656740617748</v>
      </c>
      <c r="N7">
        <f t="shared" si="7"/>
        <v>-0.49210341262240109</v>
      </c>
    </row>
    <row r="8" spans="1:14">
      <c r="A8">
        <v>0.89999999999999991</v>
      </c>
      <c r="B8" s="1">
        <v>1.7550278670787807</v>
      </c>
      <c r="D8">
        <f t="shared" si="0"/>
        <v>0.50225810766220125</v>
      </c>
      <c r="E8">
        <f t="shared" si="1"/>
        <v>2.5226320671241538E-2</v>
      </c>
      <c r="F8">
        <f t="shared" si="4"/>
        <v>3.5136865613007537</v>
      </c>
      <c r="G8">
        <f t="shared" si="5"/>
        <v>-0.52326903609442676</v>
      </c>
      <c r="I8">
        <v>1.7550278670787807</v>
      </c>
      <c r="K8">
        <f t="shared" si="2"/>
        <v>0.50225810766220125</v>
      </c>
      <c r="L8">
        <f t="shared" si="3"/>
        <v>2.5226320671241538E-2</v>
      </c>
      <c r="M8">
        <f t="shared" si="6"/>
        <v>3.5136865613007537</v>
      </c>
      <c r="N8">
        <f t="shared" si="7"/>
        <v>-0.52326903609442676</v>
      </c>
    </row>
    <row r="9" spans="1:14">
      <c r="A9">
        <v>1.05</v>
      </c>
      <c r="B9" s="1">
        <v>1.8303665832281109</v>
      </c>
      <c r="D9">
        <f t="shared" si="0"/>
        <v>0.34386245548725086</v>
      </c>
      <c r="E9">
        <f t="shared" si="1"/>
        <v>1.1824138829372159E-2</v>
      </c>
      <c r="F9">
        <f t="shared" si="4"/>
        <v>3.6380662840837239</v>
      </c>
      <c r="G9">
        <f t="shared" si="5"/>
        <v>-0.54393632178815277</v>
      </c>
      <c r="I9">
        <v>1.8303665832281109</v>
      </c>
      <c r="K9">
        <f t="shared" si="2"/>
        <v>0.34386245548725086</v>
      </c>
      <c r="L9">
        <f t="shared" si="3"/>
        <v>1.1824138829372159E-2</v>
      </c>
      <c r="M9">
        <f t="shared" si="6"/>
        <v>3.6380662840837239</v>
      </c>
      <c r="N9">
        <f t="shared" si="7"/>
        <v>-0.54393632178815277</v>
      </c>
    </row>
    <row r="10" spans="1:14">
      <c r="A10">
        <v>1.2</v>
      </c>
      <c r="B10" s="1">
        <v>1.8819459515511985</v>
      </c>
      <c r="D10">
        <f t="shared" si="0"/>
        <v>0.23284997016191541</v>
      </c>
      <c r="E10">
        <f t="shared" si="1"/>
        <v>5.42191086044049E-3</v>
      </c>
      <c r="F10">
        <f t="shared" si="4"/>
        <v>3.722843010654151</v>
      </c>
      <c r="G10">
        <f t="shared" si="5"/>
        <v>-0.55761316496905655</v>
      </c>
      <c r="I10">
        <v>1.8819459515511985</v>
      </c>
      <c r="K10">
        <f t="shared" si="2"/>
        <v>0.23284997016191541</v>
      </c>
      <c r="L10">
        <f t="shared" si="3"/>
        <v>5.42191086044049E-3</v>
      </c>
      <c r="M10">
        <f t="shared" si="6"/>
        <v>3.722843010654151</v>
      </c>
      <c r="N10">
        <f t="shared" si="7"/>
        <v>-0.55761316496905655</v>
      </c>
    </row>
    <row r="11" spans="1:14">
      <c r="A11">
        <v>1.3499999999999999</v>
      </c>
      <c r="B11" s="1">
        <v>1.9168734470754858</v>
      </c>
      <c r="D11">
        <f t="shared" si="0"/>
        <v>0.15605866089463277</v>
      </c>
      <c r="E11">
        <f t="shared" si="1"/>
        <v>2.4354305640225983E-3</v>
      </c>
      <c r="F11">
        <f t="shared" si="4"/>
        <v>3.7800125794194637</v>
      </c>
      <c r="G11">
        <f t="shared" si="5"/>
        <v>-0.56663657232831621</v>
      </c>
      <c r="I11">
        <v>1.9168734470754858</v>
      </c>
      <c r="K11">
        <f t="shared" si="2"/>
        <v>0.15605866089463277</v>
      </c>
      <c r="L11">
        <f t="shared" si="3"/>
        <v>2.4354305640225983E-3</v>
      </c>
      <c r="M11">
        <f t="shared" si="6"/>
        <v>3.7800125794194637</v>
      </c>
      <c r="N11">
        <f t="shared" si="7"/>
        <v>-0.56663657232831621</v>
      </c>
    </row>
    <row r="12" spans="1:14">
      <c r="A12">
        <v>1.5</v>
      </c>
      <c r="B12" s="1">
        <v>1.9402822462096807</v>
      </c>
      <c r="D12">
        <f t="shared" si="0"/>
        <v>0.10358239777386184</v>
      </c>
      <c r="E12">
        <f t="shared" si="1"/>
        <v>1.0729313128582539E-3</v>
      </c>
      <c r="F12">
        <f t="shared" si="4"/>
        <v>3.8181798150437323</v>
      </c>
      <c r="G12">
        <f t="shared" si="5"/>
        <v>-0.57256603255963112</v>
      </c>
      <c r="I12">
        <v>1.9402822462096807</v>
      </c>
      <c r="K12">
        <f t="shared" si="2"/>
        <v>0.10358239777386184</v>
      </c>
      <c r="L12">
        <f t="shared" si="3"/>
        <v>1.0729313128582539E-3</v>
      </c>
      <c r="M12">
        <f t="shared" si="6"/>
        <v>3.8181798150437323</v>
      </c>
      <c r="N12">
        <f t="shared" si="7"/>
        <v>-0.57256603255963112</v>
      </c>
    </row>
    <row r="13" spans="1:14">
      <c r="A13">
        <v>1.65</v>
      </c>
      <c r="B13" s="1">
        <v>1.95581960587576</v>
      </c>
      <c r="D13">
        <f t="shared" si="0"/>
        <v>6.2384484931826321E-2</v>
      </c>
      <c r="E13">
        <f t="shared" si="1"/>
        <v>3.8918239602092657E-4</v>
      </c>
      <c r="F13">
        <f t="shared" si="4"/>
        <v>3.8425769468014686</v>
      </c>
      <c r="G13">
        <f t="shared" si="5"/>
        <v>-0.57632816466081704</v>
      </c>
      <c r="I13">
        <v>1.95581960587576</v>
      </c>
      <c r="K13">
        <f t="shared" si="2"/>
        <v>6.2384484931826321E-2</v>
      </c>
      <c r="L13">
        <f t="shared" si="3"/>
        <v>3.8918239602092657E-4</v>
      </c>
      <c r="M13">
        <f t="shared" si="6"/>
        <v>3.8425769468014686</v>
      </c>
      <c r="N13">
        <f t="shared" si="7"/>
        <v>-0.57632816466081704</v>
      </c>
    </row>
    <row r="14" spans="1:14">
      <c r="A14">
        <v>1.7999999999999998</v>
      </c>
      <c r="B14" s="1">
        <v>1.9651772786155339</v>
      </c>
      <c r="D14">
        <f t="shared" si="0"/>
        <v>7.0990800485004613E-3</v>
      </c>
      <c r="E14">
        <f t="shared" si="1"/>
        <v>5.0396937535017314E-6</v>
      </c>
      <c r="F14">
        <f t="shared" si="4"/>
        <v>3.8527910308535764</v>
      </c>
      <c r="G14">
        <f t="shared" si="5"/>
        <v>-0.57791789867397347</v>
      </c>
      <c r="I14">
        <v>1.9651772786155339</v>
      </c>
      <c r="K14">
        <f t="shared" si="2"/>
        <v>7.0990800485004613E-3</v>
      </c>
      <c r="L14">
        <f t="shared" si="3"/>
        <v>5.0396937535017314E-6</v>
      </c>
      <c r="M14">
        <f t="shared" si="6"/>
        <v>3.8527910308535764</v>
      </c>
      <c r="N14">
        <f t="shared" si="7"/>
        <v>-0.57791789867397347</v>
      </c>
    </row>
    <row r="15" spans="1:14">
      <c r="A15">
        <v>1.95</v>
      </c>
      <c r="B15" s="1">
        <v>1.966242140622809</v>
      </c>
      <c r="D15">
        <f t="shared" si="0"/>
        <v>-0.10477242574095769</v>
      </c>
      <c r="E15">
        <f t="shared" si="1"/>
        <v>1.0977261195644493E-3</v>
      </c>
      <c r="F15">
        <f t="shared" si="4"/>
        <v>3.8384330490367851</v>
      </c>
      <c r="G15">
        <f t="shared" si="5"/>
        <v>-0.57560029843758309</v>
      </c>
      <c r="I15">
        <v>1.966242140622809</v>
      </c>
      <c r="K15">
        <f t="shared" si="2"/>
        <v>-0.10477242574095769</v>
      </c>
      <c r="L15">
        <f t="shared" si="3"/>
        <v>1.0977261195644493E-3</v>
      </c>
      <c r="M15">
        <f t="shared" si="6"/>
        <v>3.8384330490367851</v>
      </c>
      <c r="N15">
        <f t="shared" si="7"/>
        <v>-0.57560029843758309</v>
      </c>
    </row>
    <row r="16" spans="1:14">
      <c r="A16">
        <v>2.1</v>
      </c>
      <c r="B16" s="1">
        <v>1.9505262767616653</v>
      </c>
      <c r="D16">
        <f t="shared" si="0"/>
        <v>-0.32967346524819696</v>
      </c>
      <c r="E16">
        <f t="shared" si="1"/>
        <v>1.0868459368875413E-2</v>
      </c>
      <c r="F16">
        <f t="shared" si="4"/>
        <v>3.7745695030613793</v>
      </c>
      <c r="G16">
        <f t="shared" si="5"/>
        <v>-0.56455515655387556</v>
      </c>
      <c r="I16">
        <v>1.9505262767616653</v>
      </c>
      <c r="K16">
        <f t="shared" si="2"/>
        <v>-0.32967346524819696</v>
      </c>
      <c r="L16">
        <f t="shared" si="3"/>
        <v>1.0868459368875413E-2</v>
      </c>
      <c r="M16">
        <f t="shared" si="6"/>
        <v>3.7745695030613793</v>
      </c>
      <c r="N16">
        <f t="shared" si="7"/>
        <v>-0.56455515655387556</v>
      </c>
    </row>
    <row r="17" spans="1:14">
      <c r="A17">
        <v>2.25</v>
      </c>
      <c r="B17" s="1">
        <v>1.9010752569744358</v>
      </c>
      <c r="D17">
        <f t="shared" si="0"/>
        <v>-0.72861111846752369</v>
      </c>
      <c r="E17">
        <f t="shared" si="1"/>
        <v>5.3087416195449592E-2</v>
      </c>
      <c r="F17">
        <f t="shared" si="4"/>
        <v>3.6190016692551685</v>
      </c>
      <c r="G17">
        <f t="shared" si="5"/>
        <v>-0.53488713795895781</v>
      </c>
      <c r="I17">
        <v>1.9010752569744358</v>
      </c>
      <c r="K17">
        <f t="shared" si="2"/>
        <v>-0.72861111846752369</v>
      </c>
      <c r="L17">
        <f t="shared" si="3"/>
        <v>5.3087416195449592E-2</v>
      </c>
      <c r="M17">
        <f t="shared" si="6"/>
        <v>3.6190016692551685</v>
      </c>
      <c r="N17">
        <f t="shared" si="7"/>
        <v>-0.53488713795895781</v>
      </c>
    </row>
    <row r="18" spans="1:14">
      <c r="A18">
        <v>2.4</v>
      </c>
      <c r="B18" s="1">
        <v>1.7917835892043072</v>
      </c>
      <c r="D18">
        <f t="shared" si="0"/>
        <v>-1.3560757568897674</v>
      </c>
      <c r="E18">
        <f t="shared" si="1"/>
        <v>0.18389414584241559</v>
      </c>
      <c r="F18">
        <f t="shared" si="4"/>
        <v>3.3125526985776466</v>
      </c>
      <c r="G18">
        <f t="shared" si="5"/>
        <v>-0.46929878291028465</v>
      </c>
      <c r="I18">
        <v>1.7917835892043072</v>
      </c>
      <c r="K18">
        <f t="shared" si="2"/>
        <v>-1.3560757568897674</v>
      </c>
      <c r="L18">
        <f t="shared" si="3"/>
        <v>0.18389414584241559</v>
      </c>
      <c r="M18">
        <f t="shared" si="6"/>
        <v>3.3125526985776466</v>
      </c>
      <c r="N18">
        <f t="shared" si="7"/>
        <v>-0.46929878291028465</v>
      </c>
    </row>
    <row r="19" spans="1:14">
      <c r="A19">
        <v>2.5499999999999998</v>
      </c>
      <c r="B19" s="1">
        <v>1.5883722256708421</v>
      </c>
      <c r="D19">
        <f t="shared" si="0"/>
        <v>-2.251305982007179</v>
      </c>
      <c r="E19">
        <f t="shared" si="1"/>
        <v>0.50683786246213092</v>
      </c>
      <c r="F19">
        <f t="shared" si="4"/>
        <v>2.7822675829597951</v>
      </c>
      <c r="G19">
        <f t="shared" si="5"/>
        <v>-0.34131445807464961</v>
      </c>
      <c r="I19">
        <v>1.5883722256708421</v>
      </c>
      <c r="K19">
        <f t="shared" si="2"/>
        <v>-2.251305982007179</v>
      </c>
      <c r="L19">
        <f t="shared" si="3"/>
        <v>0.50683786246213092</v>
      </c>
      <c r="M19">
        <f t="shared" si="6"/>
        <v>2.7822675829597951</v>
      </c>
      <c r="N19">
        <f t="shared" si="7"/>
        <v>-0.34131445807464961</v>
      </c>
    </row>
    <row r="20" spans="1:14">
      <c r="A20">
        <v>2.6999999999999997</v>
      </c>
      <c r="B20" s="1">
        <v>1.2506763283697653</v>
      </c>
      <c r="D20">
        <f t="shared" si="0"/>
        <v>-3.4339210945658847</v>
      </c>
      <c r="E20">
        <f t="shared" si="1"/>
        <v>1.1791814083704564</v>
      </c>
      <c r="F20">
        <f t="shared" si="4"/>
        <v>1.9465392027035553</v>
      </c>
      <c r="G20">
        <f t="shared" si="5"/>
        <v>-0.11510366914996484</v>
      </c>
      <c r="I20">
        <v>1.2506763283697653</v>
      </c>
      <c r="K20">
        <f t="shared" si="2"/>
        <v>-3.4339210945658847</v>
      </c>
      <c r="L20">
        <f t="shared" si="3"/>
        <v>1.1791814083704564</v>
      </c>
      <c r="M20">
        <f t="shared" si="6"/>
        <v>1.9465392027035553</v>
      </c>
      <c r="N20">
        <f t="shared" si="7"/>
        <v>-0.11510366914996484</v>
      </c>
    </row>
    <row r="21" spans="1:14">
      <c r="A21">
        <v>2.85</v>
      </c>
      <c r="B21" s="1">
        <v>0.7355881641848826</v>
      </c>
      <c r="D21">
        <f t="shared" si="0"/>
        <v>-4.9039210945658844</v>
      </c>
      <c r="E21">
        <f t="shared" si="1"/>
        <v>2.4048442101728265</v>
      </c>
      <c r="F21">
        <f t="shared" si="4"/>
        <v>0.72087640090118499</v>
      </c>
      <c r="G21">
        <f t="shared" si="5"/>
        <v>0.25259517139074622</v>
      </c>
      <c r="I21">
        <v>0.7355881641848826</v>
      </c>
      <c r="K21">
        <f t="shared" si="2"/>
        <v>-4.9039210945658844</v>
      </c>
      <c r="L21">
        <f t="shared" si="3"/>
        <v>2.4048442101728265</v>
      </c>
      <c r="M21">
        <f t="shared" si="6"/>
        <v>0.72087640090118499</v>
      </c>
      <c r="N21">
        <f t="shared" si="7"/>
        <v>0.25259517139074622</v>
      </c>
    </row>
    <row r="22" spans="1:14">
      <c r="A22">
        <v>3</v>
      </c>
      <c r="B22" s="1">
        <v>0</v>
      </c>
      <c r="I22">
        <v>0</v>
      </c>
    </row>
    <row r="24" spans="1:14">
      <c r="F24" t="s">
        <v>9</v>
      </c>
      <c r="G24">
        <f>SUM(G1:G21)</f>
        <v>-7.8326103121028083</v>
      </c>
      <c r="M24" t="s">
        <v>8</v>
      </c>
      <c r="N24">
        <f>SUM(N1:N21)</f>
        <v>-7.8326103121028083</v>
      </c>
    </row>
    <row r="28" spans="1:14">
      <c r="D28" t="s">
        <v>0</v>
      </c>
      <c r="E28" t="s">
        <v>1</v>
      </c>
      <c r="F28" t="s">
        <v>2</v>
      </c>
    </row>
    <row r="29" spans="1:14">
      <c r="D29">
        <f>3/20</f>
        <v>0.15</v>
      </c>
      <c r="E29">
        <v>0.2</v>
      </c>
      <c r="F29">
        <v>9.8000000000000007</v>
      </c>
    </row>
  </sheetData>
  <pageMargins left="0.7" right="0.7" top="0.75" bottom="0.75" header="0.3" footer="0.3"/>
  <pageSetup orientation="portrait" r:id="rId1"/>
  <drawing r:id="rId2"/>
  <legacyDrawing r:id="rId3"/>
  <controls>
    <control shapeId="1027" r:id="rId4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2016-11-07T20:57:58Z</dcterms:modified>
</cp:coreProperties>
</file>